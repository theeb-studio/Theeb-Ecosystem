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6" activeTab="8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NAMA Medical" sheetId="2" state="visible" r:id="rId2"/>
    <sheet xmlns:r="http://schemas.openxmlformats.org/officeDocument/2006/relationships" name="Waraqa" sheetId="3" state="visible" r:id="rId3"/>
    <sheet xmlns:r="http://schemas.openxmlformats.org/officeDocument/2006/relationships" name="NAMA Knowledge" sheetId="4" state="visible" r:id="rId4"/>
    <sheet xmlns:r="http://schemas.openxmlformats.org/officeDocument/2006/relationships" name="NAMA BIO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Investment &amp; Return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Capital Audit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;\(&quot;$&quot;#,##0\);&quot;-&quot;"/>
    <numFmt numFmtId="167" formatCode="0.0&quot;x&quot;"/>
    <numFmt numFmtId="168" formatCode="\+&quot;$&quot;#,##0;\(&quot;$&quot;#,##0\);&quot;-&quot;"/>
  </numFmts>
  <fonts count="2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color rgb="FF808080"/>
      <sz val="9"/>
      <scheme val="minor"/>
    </font>
    <font>
      <name val="Calibri"/>
      <family val="2"/>
      <color rgb="FF008000"/>
      <sz val="11"/>
      <scheme val="minor"/>
    </font>
    <font>
      <name val="Calibri"/>
      <family val="2"/>
      <b val="1"/>
      <color rgb="FF00800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Tahoma"/>
      <color indexed="81"/>
      <sz val="9"/>
    </font>
    <font>
      <name val="Tahoma"/>
      <b val="1"/>
      <color indexed="81"/>
      <sz val="9"/>
    </font>
    <font>
      <name val="Calibri"/>
      <family val="2"/>
      <i val="1"/>
      <color rgb="FFFFFFFF"/>
      <sz val="10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C0392B"/>
      <sz val="11"/>
      <scheme val="minor"/>
    </font>
    <font>
      <name val="Calibri"/>
      <family val="2"/>
      <b val="1"/>
      <color rgb="FFE67E22"/>
      <sz val="11"/>
      <scheme val="minor"/>
    </font>
    <font>
      <name val="Calibri"/>
      <family val="2"/>
      <b val="1"/>
      <color rgb="FF2E86C1"/>
      <sz val="11"/>
      <scheme val="minor"/>
    </font>
    <font>
      <name val="Calibri"/>
      <family val="2"/>
      <color rgb="FF999999"/>
      <sz val="11"/>
      <scheme val="minor"/>
    </font>
    <font>
      <name val="Calibri"/>
      <family val="2"/>
      <b val="1"/>
      <color rgb="FFFF0000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ADBD8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/>
      <diagonal/>
    </border>
    <border>
      <left/>
      <right/>
      <top style="medium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auto="1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auto="1"/>
      </top>
      <bottom style="medium">
        <color auto="1"/>
      </bottom>
      <diagonal/>
    </border>
    <border>
      <left style="thin">
        <color rgb="FFD5D8DC"/>
      </left>
      <right style="thin">
        <color rgb="FFD5D8D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D5D8D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D5D8DC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D5D8DC"/>
      </right>
      <top style="thin">
        <color auto="1"/>
      </top>
      <bottom style="medium">
        <color auto="1"/>
      </bottom>
      <diagonal/>
    </border>
    <border>
      <left style="thin">
        <color rgb="FFD5D8DC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D5D8DC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D5D8DC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>
      <left style="thin">
        <color rgb="FFD5D8DC"/>
      </left>
      <right/>
      <top/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auto="1"/>
      </bottom>
      <diagonal/>
    </border>
    <border>
      <left style="thin">
        <color rgb="FFD5D8DC"/>
      </left>
      <right/>
      <top style="thin">
        <color rgb="FFD5D8DC"/>
      </top>
      <bottom style="medium">
        <color auto="1"/>
      </bottom>
      <diagonal/>
    </border>
    <border>
      <left/>
      <right style="thin">
        <color rgb="FFD5D8DC"/>
      </right>
      <top style="medium">
        <color auto="1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medium">
        <color auto="1"/>
      </top>
      <bottom style="thin">
        <color rgb="FFD5D8DC"/>
      </bottom>
      <diagonal/>
    </border>
    <border>
      <left style="thin">
        <color rgb="FFD5D8DC"/>
      </left>
      <right/>
      <top style="medium">
        <color auto="1"/>
      </top>
      <bottom style="thin">
        <color rgb="FFD5D8DC"/>
      </bottom>
      <diagonal/>
    </border>
    <border>
      <left style="thin">
        <color auto="1"/>
      </left>
      <right style="thin">
        <color rgb="FFD5D8DC"/>
      </right>
      <top style="medium">
        <color auto="1"/>
      </top>
      <bottom style="thin">
        <color rgb="FFD5D8DC"/>
      </bottom>
      <diagonal/>
    </border>
    <border>
      <left style="thin">
        <color auto="1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auto="1"/>
      </left>
      <right style="thin">
        <color rgb="FFD5D8DC"/>
      </right>
      <top style="thin">
        <color rgb="FFD5D8DC"/>
      </top>
      <bottom style="medium">
        <color auto="1"/>
      </bottom>
      <diagonal/>
    </border>
    <border>
      <left style="thin">
        <color rgb="FFD5D8DC"/>
      </left>
      <right style="thin">
        <color auto="1"/>
      </right>
      <top style="medium">
        <color auto="1"/>
      </top>
      <bottom style="thin">
        <color rgb="FFD5D8DC"/>
      </bottom>
      <diagonal/>
    </border>
    <border>
      <left style="thin">
        <color rgb="FFD5D8DC"/>
      </left>
      <right style="thin">
        <color auto="1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auto="1"/>
      </right>
      <top style="thin">
        <color rgb="FFD5D8DC"/>
      </top>
      <bottom style="medium">
        <color auto="1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4" fillId="3" borderId="1" applyAlignment="1" pivotButton="0" quotePrefix="0" xfId="0">
      <alignment horizontal="left"/>
    </xf>
    <xf numFmtId="49" fontId="4" fillId="3" borderId="1" applyAlignment="1" pivotButton="0" quotePrefix="0" xfId="0">
      <alignment horizontal="center"/>
    </xf>
    <xf numFmtId="0" fontId="2" fillId="4" borderId="2" pivotButton="0" quotePrefix="0" xfId="0"/>
    <xf numFmtId="0" fontId="0" fillId="4" borderId="2" pivotButton="0" quotePrefix="0" xfId="0"/>
    <xf numFmtId="0" fontId="2" fillId="0" borderId="2" pivotButton="0" quotePrefix="0" xfId="0"/>
    <xf numFmtId="164" fontId="6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5" fillId="0" borderId="2" pivotButton="0" quotePrefix="0" xfId="0"/>
    <xf numFmtId="165" fontId="5" fillId="0" borderId="2" pivotButton="0" quotePrefix="0" xfId="0"/>
    <xf numFmtId="164" fontId="2" fillId="0" borderId="2" pivotButton="0" quotePrefix="0" xfId="0"/>
    <xf numFmtId="164" fontId="5" fillId="0" borderId="2" pivotButton="0" quotePrefix="0" xfId="0"/>
    <xf numFmtId="3" fontId="5" fillId="0" borderId="2" pivotButton="0" quotePrefix="0" xfId="0"/>
    <xf numFmtId="166" fontId="0" fillId="0" borderId="2" pivotButton="0" quotePrefix="0" xfId="0"/>
    <xf numFmtId="0" fontId="0" fillId="0" borderId="3" pivotButton="0" quotePrefix="0" xfId="0"/>
    <xf numFmtId="164" fontId="6" fillId="0" borderId="3" pivotButton="0" quotePrefix="0" xfId="0"/>
    <xf numFmtId="0" fontId="0" fillId="0" borderId="1" pivotButton="0" quotePrefix="0" xfId="0"/>
    <xf numFmtId="0" fontId="2" fillId="0" borderId="4" pivotButton="0" quotePrefix="0" xfId="0"/>
    <xf numFmtId="164" fontId="2" fillId="0" borderId="4" pivotButton="0" quotePrefix="0" xfId="0"/>
    <xf numFmtId="0" fontId="2" fillId="4" borderId="3" pivotButton="0" quotePrefix="0" xfId="0"/>
    <xf numFmtId="0" fontId="0" fillId="4" borderId="3" pivotButton="0" quotePrefix="0" xfId="0"/>
    <xf numFmtId="0" fontId="2" fillId="0" borderId="1" pivotButton="0" quotePrefix="0" xfId="0"/>
    <xf numFmtId="165" fontId="2" fillId="0" borderId="1" pivotButton="0" quotePrefix="0" xfId="0"/>
    <xf numFmtId="0" fontId="4" fillId="3" borderId="1" applyAlignment="1" pivotButton="0" quotePrefix="0" xfId="0">
      <alignment horizontal="center"/>
    </xf>
    <xf numFmtId="0" fontId="5" fillId="0" borderId="3" pivotButton="0" quotePrefix="0" xfId="0"/>
    <xf numFmtId="164" fontId="2" fillId="0" borderId="3" pivotButton="0" quotePrefix="0" xfId="0"/>
    <xf numFmtId="0" fontId="4" fillId="3" borderId="1" pivotButton="0" quotePrefix="0" xfId="0"/>
    <xf numFmtId="0" fontId="8" fillId="0" borderId="2" pivotButton="0" quotePrefix="0" xfId="0"/>
    <xf numFmtId="164" fontId="8" fillId="0" borderId="2" pivotButton="0" quotePrefix="0" xfId="0"/>
    <xf numFmtId="3" fontId="8" fillId="0" borderId="2" pivotButton="0" quotePrefix="0" xfId="0"/>
    <xf numFmtId="0" fontId="9" fillId="4" borderId="2" pivotButton="0" quotePrefix="0" xfId="0"/>
    <xf numFmtId="0" fontId="9" fillId="0" borderId="1" pivotButton="0" quotePrefix="0" xfId="0"/>
    <xf numFmtId="0" fontId="2" fillId="0" borderId="1" applyAlignment="1" pivotButton="0" quotePrefix="0" xfId="0">
      <alignment horizontal="center"/>
    </xf>
    <xf numFmtId="0" fontId="9" fillId="0" borderId="4" pivotButton="0" quotePrefix="0" xfId="0"/>
    <xf numFmtId="0" fontId="8" fillId="0" borderId="3" pivotButton="0" quotePrefix="0" xfId="0"/>
    <xf numFmtId="164" fontId="8" fillId="0" borderId="3" pivotButton="0" quotePrefix="0" xfId="0"/>
    <xf numFmtId="0" fontId="0" fillId="0" borderId="0" pivotButton="0" quotePrefix="0" xfId="0"/>
    <xf numFmtId="3" fontId="5" fillId="0" borderId="3" pivotButton="0" quotePrefix="0" xfId="0"/>
    <xf numFmtId="3" fontId="2" fillId="0" borderId="4" pivotButton="0" quotePrefix="0" xfId="0"/>
    <xf numFmtId="0" fontId="12" fillId="2" borderId="0" pivotButton="0" quotePrefix="0" xfId="0"/>
    <xf numFmtId="0" fontId="13" fillId="3" borderId="0" pivotButton="0" quotePrefix="0" xfId="0"/>
    <xf numFmtId="0" fontId="0" fillId="3" borderId="0" pivotButton="0" quotePrefix="0" xfId="0"/>
    <xf numFmtId="0" fontId="4" fillId="2" borderId="0" pivotButton="0" quotePrefix="0" xfId="0"/>
    <xf numFmtId="164" fontId="5" fillId="5" borderId="5" pivotButton="0" quotePrefix="0" xfId="0"/>
    <xf numFmtId="165" fontId="0" fillId="5" borderId="5" pivotButton="0" quotePrefix="0" xfId="0"/>
    <xf numFmtId="165" fontId="5" fillId="5" borderId="5" pivotButton="0" quotePrefix="0" xfId="0"/>
    <xf numFmtId="164" fontId="5" fillId="0" borderId="5" pivotButton="0" quotePrefix="0" xfId="0"/>
    <xf numFmtId="165" fontId="0" fillId="0" borderId="5" pivotButton="0" quotePrefix="0" xfId="0"/>
    <xf numFmtId="165" fontId="5" fillId="0" borderId="5" pivotButton="0" quotePrefix="0" xfId="0"/>
    <xf numFmtId="164" fontId="4" fillId="2" borderId="6" pivotButton="0" quotePrefix="0" xfId="0"/>
    <xf numFmtId="165" fontId="4" fillId="2" borderId="6" pivotButton="0" quotePrefix="0" xfId="0"/>
    <xf numFmtId="0" fontId="0" fillId="2" borderId="6" pivotButton="0" quotePrefix="0" xfId="0"/>
    <xf numFmtId="0" fontId="4" fillId="2" borderId="7" applyAlignment="1" pivotButton="0" quotePrefix="0" xfId="0">
      <alignment horizontal="center"/>
    </xf>
    <xf numFmtId="0" fontId="4" fillId="2" borderId="8" pivotButton="0" quotePrefix="0" xfId="0"/>
    <xf numFmtId="0" fontId="2" fillId="5" borderId="9" pivotButton="0" quotePrefix="0" xfId="0"/>
    <xf numFmtId="0" fontId="2" fillId="0" borderId="9" pivotButton="0" quotePrefix="0" xfId="0"/>
    <xf numFmtId="0" fontId="4" fillId="2" borderId="10" pivotButton="0" quotePrefix="0" xfId="0"/>
    <xf numFmtId="0" fontId="4" fillId="2" borderId="11" applyAlignment="1" pivotButton="0" quotePrefix="0" xfId="0">
      <alignment horizontal="center"/>
    </xf>
    <xf numFmtId="0" fontId="14" fillId="5" borderId="12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15" fillId="2" borderId="13" applyAlignment="1" pivotButton="0" quotePrefix="0" xfId="0">
      <alignment horizontal="center"/>
    </xf>
    <xf numFmtId="0" fontId="0" fillId="5" borderId="1" pivotButton="0" quotePrefix="0" xfId="0"/>
    <xf numFmtId="164" fontId="9" fillId="5" borderId="1" pivotButton="0" quotePrefix="0" xfId="0"/>
    <xf numFmtId="165" fontId="2" fillId="5" borderId="1" pivotButton="0" quotePrefix="0" xfId="0"/>
    <xf numFmtId="164" fontId="9" fillId="0" borderId="2" pivotButton="0" quotePrefix="0" xfId="0"/>
    <xf numFmtId="0" fontId="0" fillId="5" borderId="2" pivotButton="0" quotePrefix="0" xfId="0"/>
    <xf numFmtId="164" fontId="9" fillId="5" borderId="2" pivotButton="0" quotePrefix="0" xfId="0"/>
    <xf numFmtId="164" fontId="2" fillId="5" borderId="2" pivotButton="0" quotePrefix="0" xfId="0"/>
    <xf numFmtId="167" fontId="2" fillId="0" borderId="2" pivotButton="0" quotePrefix="0" xfId="0"/>
    <xf numFmtId="165" fontId="9" fillId="5" borderId="2" pivotButton="0" quotePrefix="0" xfId="0"/>
    <xf numFmtId="164" fontId="6" fillId="5" borderId="2" pivotButton="0" quotePrefix="0" xfId="0"/>
    <xf numFmtId="0" fontId="0" fillId="6" borderId="2" pivotButton="0" quotePrefix="0" xfId="0"/>
    <xf numFmtId="164" fontId="2" fillId="6" borderId="2" pivotButton="0" quotePrefix="0" xfId="0"/>
    <xf numFmtId="3" fontId="9" fillId="0" borderId="3" pivotButton="0" quotePrefix="0" xfId="0"/>
    <xf numFmtId="165" fontId="6" fillId="0" borderId="3" pivotButton="0" quotePrefix="0" xfId="0"/>
    <xf numFmtId="0" fontId="0" fillId="5" borderId="17" pivotButton="0" quotePrefix="0" xfId="0"/>
    <xf numFmtId="164" fontId="5" fillId="5" borderId="18" pivotButton="0" quotePrefix="0" xfId="0"/>
    <xf numFmtId="165" fontId="0" fillId="5" borderId="18" pivotButton="0" quotePrefix="0" xfId="0"/>
    <xf numFmtId="0" fontId="0" fillId="5" borderId="19" pivotButton="0" quotePrefix="0" xfId="0"/>
    <xf numFmtId="0" fontId="0" fillId="0" borderId="17" pivotButton="0" quotePrefix="0" xfId="0"/>
    <xf numFmtId="164" fontId="5" fillId="0" borderId="18" pivotButton="0" quotePrefix="0" xfId="0"/>
    <xf numFmtId="165" fontId="0" fillId="0" borderId="18" pivotButton="0" quotePrefix="0" xfId="0"/>
    <xf numFmtId="0" fontId="0" fillId="0" borderId="19" pivotButton="0" quotePrefix="0" xfId="0"/>
    <xf numFmtId="0" fontId="4" fillId="2" borderId="23" pivotButton="0" quotePrefix="0" xfId="0"/>
    <xf numFmtId="164" fontId="4" fillId="2" borderId="24" pivotButton="0" quotePrefix="0" xfId="0"/>
    <xf numFmtId="165" fontId="4" fillId="2" borderId="24" pivotButton="0" quotePrefix="0" xfId="0"/>
    <xf numFmtId="0" fontId="0" fillId="2" borderId="25" pivotButton="0" quotePrefix="0" xfId="0"/>
    <xf numFmtId="0" fontId="4" fillId="2" borderId="26" pivotButton="0" quotePrefix="0" xfId="0"/>
    <xf numFmtId="0" fontId="4" fillId="2" borderId="27" applyAlignment="1" pivotButton="0" quotePrefix="0" xfId="0">
      <alignment horizontal="center"/>
    </xf>
    <xf numFmtId="0" fontId="4" fillId="2" borderId="28" applyAlignment="1" pivotButton="0" quotePrefix="0" xfId="0">
      <alignment horizontal="center"/>
    </xf>
    <xf numFmtId="166" fontId="5" fillId="0" borderId="2" pivotButton="0" quotePrefix="0" xfId="0"/>
    <xf numFmtId="0" fontId="2" fillId="0" borderId="3" pivotButton="0" quotePrefix="0" xfId="0"/>
    <xf numFmtId="166" fontId="0" fillId="5" borderId="18" pivotButton="0" quotePrefix="0" xfId="0"/>
    <xf numFmtId="166" fontId="0" fillId="5" borderId="19" pivotButton="0" quotePrefix="0" xfId="0"/>
    <xf numFmtId="166" fontId="0" fillId="0" borderId="18" pivotButton="0" quotePrefix="0" xfId="0"/>
    <xf numFmtId="166" fontId="0" fillId="0" borderId="19" pivotButton="0" quotePrefix="0" xfId="0"/>
    <xf numFmtId="166" fontId="5" fillId="0" borderId="18" pivotButton="0" quotePrefix="0" xfId="0"/>
    <xf numFmtId="166" fontId="5" fillId="0" borderId="19" pivotButton="0" quotePrefix="0" xfId="0"/>
    <xf numFmtId="0" fontId="2" fillId="0" borderId="17" pivotButton="0" quotePrefix="0" xfId="0"/>
    <xf numFmtId="164" fontId="2" fillId="0" borderId="18" pivotButton="0" quotePrefix="0" xfId="0"/>
    <xf numFmtId="166" fontId="2" fillId="0" borderId="18" pivotButton="0" quotePrefix="0" xfId="0"/>
    <xf numFmtId="166" fontId="2" fillId="0" borderId="19" pivotButton="0" quotePrefix="0" xfId="0"/>
    <xf numFmtId="0" fontId="2" fillId="0" borderId="23" pivotButton="0" quotePrefix="0" xfId="0"/>
    <xf numFmtId="164" fontId="2" fillId="0" borderId="24" pivotButton="0" quotePrefix="0" xfId="0"/>
    <xf numFmtId="164" fontId="2" fillId="0" borderId="25" pivotButton="0" quotePrefix="0" xfId="0"/>
    <xf numFmtId="49" fontId="4" fillId="2" borderId="27" applyAlignment="1" pivotButton="0" quotePrefix="0" xfId="0">
      <alignment horizontal="center"/>
    </xf>
    <xf numFmtId="49" fontId="4" fillId="2" borderId="28" applyAlignment="1" pivotButton="0" quotePrefix="0" xfId="0">
      <alignment horizontal="center"/>
    </xf>
    <xf numFmtId="164" fontId="8" fillId="5" borderId="18" pivotButton="0" quotePrefix="0" xfId="0"/>
    <xf numFmtId="164" fontId="2" fillId="5" borderId="18" pivotButton="0" quotePrefix="0" xfId="0"/>
    <xf numFmtId="164" fontId="2" fillId="5" borderId="19" pivotButton="0" quotePrefix="0" xfId="0"/>
    <xf numFmtId="164" fontId="8" fillId="0" borderId="18" pivotButton="0" quotePrefix="0" xfId="0"/>
    <xf numFmtId="164" fontId="2" fillId="0" borderId="19" pivotButton="0" quotePrefix="0" xfId="0"/>
    <xf numFmtId="0" fontId="0" fillId="5" borderId="21" pivotButton="0" quotePrefix="0" xfId="0"/>
    <xf numFmtId="0" fontId="2" fillId="5" borderId="23" pivotButton="0" quotePrefix="0" xfId="0"/>
    <xf numFmtId="0" fontId="0" fillId="5" borderId="24" pivotButton="0" quotePrefix="0" xfId="0"/>
    <xf numFmtId="167" fontId="2" fillId="5" borderId="24" pivotButton="0" quotePrefix="0" xfId="0"/>
    <xf numFmtId="167" fontId="2" fillId="5" borderId="25" pivotButton="0" quotePrefix="0" xfId="0"/>
    <xf numFmtId="0" fontId="0" fillId="2" borderId="27" pivotButton="0" quotePrefix="0" xfId="0"/>
    <xf numFmtId="164" fontId="6" fillId="5" borderId="18" pivotButton="0" quotePrefix="0" xfId="0"/>
    <xf numFmtId="164" fontId="6" fillId="5" borderId="19" pivotButton="0" quotePrefix="0" xfId="0"/>
    <xf numFmtId="164" fontId="0" fillId="0" borderId="18" pivotButton="0" quotePrefix="0" xfId="0"/>
    <xf numFmtId="164" fontId="0" fillId="0" borderId="19" pivotButton="0" quotePrefix="0" xfId="0"/>
    <xf numFmtId="0" fontId="2" fillId="5" borderId="17" pivotButton="0" quotePrefix="0" xfId="0"/>
    <xf numFmtId="167" fontId="2" fillId="5" borderId="18" pivotButton="0" quotePrefix="0" xfId="0"/>
    <xf numFmtId="167" fontId="2" fillId="5" borderId="19" pivotButton="0" quotePrefix="0" xfId="0"/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2" fillId="6" borderId="17" pivotButton="0" quotePrefix="0" xfId="0"/>
    <xf numFmtId="165" fontId="2" fillId="6" borderId="18" pivotButton="0" quotePrefix="0" xfId="0"/>
    <xf numFmtId="165" fontId="2" fillId="6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4" fillId="3" borderId="14" pivotButton="0" quotePrefix="0" xfId="0"/>
    <xf numFmtId="0" fontId="4" fillId="3" borderId="15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6" fillId="5" borderId="18" pivotButton="0" quotePrefix="0" xfId="0"/>
    <xf numFmtId="0" fontId="0" fillId="5" borderId="18" pivotButton="0" quotePrefix="0" xfId="0"/>
    <xf numFmtId="0" fontId="14" fillId="5" borderId="19" pivotButton="0" quotePrefix="0" xfId="0"/>
    <xf numFmtId="165" fontId="6" fillId="0" borderId="18" pivotButton="0" quotePrefix="0" xfId="0"/>
    <xf numFmtId="0" fontId="0" fillId="0" borderId="18" pivotButton="0" quotePrefix="0" xfId="0"/>
    <xf numFmtId="0" fontId="14" fillId="0" borderId="19" pivotButton="0" quotePrefix="0" xfId="0"/>
    <xf numFmtId="165" fontId="6" fillId="5" borderId="18" pivotButton="0" quotePrefix="0" xfId="0"/>
    <xf numFmtId="164" fontId="6" fillId="0" borderId="18" pivotButton="0" quotePrefix="0" xfId="0"/>
    <xf numFmtId="0" fontId="0" fillId="5" borderId="20" pivotButton="0" quotePrefix="0" xfId="0"/>
    <xf numFmtId="0" fontId="6" fillId="5" borderId="21" pivotButton="0" quotePrefix="0" xfId="0"/>
    <xf numFmtId="0" fontId="14" fillId="5" borderId="22" pivotButton="0" quotePrefix="0" xfId="0"/>
    <xf numFmtId="0" fontId="0" fillId="3" borderId="15" pivotButton="0" quotePrefix="0" xfId="0"/>
    <xf numFmtId="0" fontId="0" fillId="3" borderId="16" pivotButton="0" quotePrefix="0" xfId="0"/>
    <xf numFmtId="0" fontId="5" fillId="5" borderId="18" pivotButton="0" quotePrefix="0" xfId="0"/>
    <xf numFmtId="0" fontId="2" fillId="5" borderId="18" pivotButton="0" quotePrefix="0" xfId="0"/>
    <xf numFmtId="0" fontId="5" fillId="0" borderId="18" pivotButton="0" quotePrefix="0" xfId="0"/>
    <xf numFmtId="0" fontId="2" fillId="0" borderId="18" pivotButton="0" quotePrefix="0" xfId="0"/>
    <xf numFmtId="0" fontId="5" fillId="0" borderId="21" pivotButton="0" quotePrefix="0" xfId="0"/>
    <xf numFmtId="0" fontId="2" fillId="0" borderId="21" pivotButton="0" quotePrefix="0" xfId="0"/>
    <xf numFmtId="0" fontId="14" fillId="0" borderId="22" pivotButton="0" quotePrefix="0" xfId="0"/>
    <xf numFmtId="0" fontId="0" fillId="0" borderId="21" pivotButton="0" quotePrefix="0" xfId="0"/>
    <xf numFmtId="164" fontId="2" fillId="4" borderId="2" pivotButton="0" quotePrefix="0" xfId="0"/>
    <xf numFmtId="166" fontId="5" fillId="5" borderId="18" pivotButton="0" quotePrefix="0" xfId="0"/>
    <xf numFmtId="0" fontId="3" fillId="7" borderId="0" pivotButton="0" quotePrefix="0" xfId="0"/>
    <xf numFmtId="0" fontId="0" fillId="7" borderId="0" pivotButton="0" quotePrefix="0" xfId="0"/>
    <xf numFmtId="0" fontId="18" fillId="8" borderId="0" pivotButton="0" quotePrefix="0" xfId="0"/>
    <xf numFmtId="0" fontId="0" fillId="8" borderId="0" pivotButton="0" quotePrefix="0" xfId="0"/>
    <xf numFmtId="0" fontId="4" fillId="7" borderId="0" pivotButton="0" quotePrefix="0" xfId="0"/>
    <xf numFmtId="164" fontId="0" fillId="5" borderId="18" pivotButton="0" quotePrefix="0" xfId="0"/>
    <xf numFmtId="164" fontId="19" fillId="0" borderId="18" pivotButton="0" quotePrefix="0" xfId="0"/>
    <xf numFmtId="168" fontId="19" fillId="0" borderId="18" pivotButton="0" quotePrefix="0" xfId="0"/>
    <xf numFmtId="164" fontId="20" fillId="5" borderId="18" pivotButton="0" quotePrefix="0" xfId="0"/>
    <xf numFmtId="168" fontId="20" fillId="5" borderId="18" pivotButton="0" quotePrefix="0" xfId="0"/>
    <xf numFmtId="168" fontId="4" fillId="2" borderId="24" pivotButton="0" quotePrefix="0" xfId="0"/>
    <xf numFmtId="0" fontId="4" fillId="2" borderId="29" pivotButton="0" quotePrefix="0" xfId="0"/>
    <xf numFmtId="0" fontId="2" fillId="5" borderId="30" pivotButton="0" quotePrefix="0" xfId="0"/>
    <xf numFmtId="0" fontId="2" fillId="0" borderId="30" pivotButton="0" quotePrefix="0" xfId="0"/>
    <xf numFmtId="0" fontId="4" fillId="2" borderId="31" pivotButton="0" quotePrefix="0" xfId="0"/>
    <xf numFmtId="0" fontId="4" fillId="2" borderId="32" applyAlignment="1" pivotButton="0" quotePrefix="0" xfId="0">
      <alignment horizontal="center"/>
    </xf>
    <xf numFmtId="164" fontId="5" fillId="5" borderId="33" pivotButton="0" quotePrefix="0" xfId="0"/>
    <xf numFmtId="164" fontId="5" fillId="0" borderId="33" pivotButton="0" quotePrefix="0" xfId="0"/>
    <xf numFmtId="164" fontId="4" fillId="2" borderId="34" pivotButton="0" quotePrefix="0" xfId="0"/>
    <xf numFmtId="167" fontId="0" fillId="5" borderId="18" pivotButton="0" quotePrefix="0" xfId="0"/>
    <xf numFmtId="167" fontId="0" fillId="0" borderId="18" pivotButton="0" quotePrefix="0" xfId="0"/>
    <xf numFmtId="167" fontId="0" fillId="0" borderId="24" pivotButton="0" quotePrefix="0" xfId="0"/>
    <xf numFmtId="164" fontId="0" fillId="0" borderId="24" pivotButton="0" quotePrefix="0" xfId="0"/>
    <xf numFmtId="0" fontId="2" fillId="0" borderId="31" pivotButton="0" quotePrefix="0" xfId="0"/>
    <xf numFmtId="0" fontId="1" fillId="5" borderId="33" pivotButton="0" quotePrefix="0" xfId="0"/>
    <xf numFmtId="0" fontId="1" fillId="0" borderId="33" pivotButton="0" quotePrefix="0" xfId="0"/>
    <xf numFmtId="0" fontId="1" fillId="0" borderId="34" pivotButton="0" quotePrefix="0" xfId="0"/>
    <xf numFmtId="0" fontId="2" fillId="9" borderId="29" applyAlignment="1" pivotButton="0" quotePrefix="0" xfId="0">
      <alignment horizontal="center"/>
    </xf>
    <xf numFmtId="0" fontId="21" fillId="0" borderId="30" applyAlignment="1" pivotButton="0" quotePrefix="0" xfId="0">
      <alignment horizontal="center"/>
    </xf>
    <xf numFmtId="0" fontId="22" fillId="0" borderId="30" applyAlignment="1" pivotButton="0" quotePrefix="0" xfId="0">
      <alignment horizontal="center"/>
    </xf>
    <xf numFmtId="0" fontId="23" fillId="0" borderId="30" applyAlignment="1" pivotButton="0" quotePrefix="0" xfId="0">
      <alignment horizontal="center"/>
    </xf>
    <xf numFmtId="0" fontId="23" fillId="0" borderId="31" applyAlignment="1" pivotButton="0" quotePrefix="0" xfId="0">
      <alignment horizontal="center"/>
    </xf>
    <xf numFmtId="167" fontId="2" fillId="6" borderId="18" pivotButton="0" quotePrefix="0" xfId="0"/>
    <xf numFmtId="165" fontId="2" fillId="0" borderId="18" pivotButton="0" quotePrefix="0" xfId="0"/>
    <xf numFmtId="164" fontId="2" fillId="6" borderId="18" pivotButton="0" quotePrefix="0" xfId="0"/>
    <xf numFmtId="167" fontId="24" fillId="0" borderId="24" pivotButton="0" quotePrefix="0" xfId="0"/>
    <xf numFmtId="0" fontId="2" fillId="4" borderId="27" applyAlignment="1" pivotButton="0" quotePrefix="0" xfId="0">
      <alignment horizontal="center"/>
    </xf>
    <xf numFmtId="0" fontId="2" fillId="6" borderId="27" applyAlignment="1" pivotButton="0" quotePrefix="0" xfId="0">
      <alignment horizontal="center"/>
    </xf>
    <xf numFmtId="0" fontId="2" fillId="4" borderId="29" pivotButton="0" quotePrefix="0" xfId="0"/>
    <xf numFmtId="0" fontId="24" fillId="0" borderId="31" pivotButton="0" quotePrefix="0" xfId="0"/>
    <xf numFmtId="0" fontId="2" fillId="4" borderId="32" applyAlignment="1" pivotButton="0" quotePrefix="0" xfId="0">
      <alignment horizontal="center"/>
    </xf>
    <xf numFmtId="167" fontId="2" fillId="5" borderId="33" pivotButton="0" quotePrefix="0" xfId="0"/>
    <xf numFmtId="165" fontId="2" fillId="0" borderId="33" pivotButton="0" quotePrefix="0" xfId="0"/>
    <xf numFmtId="164" fontId="2" fillId="5" borderId="33" pivotButton="0" quotePrefix="0" xfId="0"/>
    <xf numFmtId="167" fontId="24" fillId="0" borderId="34" pivotButton="0" quotePrefix="0" xfId="0"/>
    <xf numFmtId="0" fontId="14" fillId="5" borderId="18" pivotButton="0" quotePrefix="0" xfId="0"/>
    <xf numFmtId="0" fontId="25" fillId="0" borderId="18" pivotButton="0" quotePrefix="0" xfId="0"/>
    <xf numFmtId="165" fontId="0" fillId="0" borderId="24" pivotButton="0" quotePrefix="0" xfId="0"/>
    <xf numFmtId="0" fontId="14" fillId="0" borderId="24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1" pivotButton="0" quotePrefix="0" xfId="0"/>
    <xf numFmtId="0" fontId="2" fillId="9" borderId="32" applyAlignment="1" pivotButton="0" quotePrefix="0" xfId="0">
      <alignment wrapText="1"/>
    </xf>
    <xf numFmtId="0" fontId="0" fillId="0" borderId="33" applyAlignment="1" pivotButton="0" quotePrefix="0" xfId="0">
      <alignment wrapText="1"/>
    </xf>
    <xf numFmtId="0" fontId="0" fillId="0" borderId="34" applyAlignment="1" pivotButton="0" quotePrefix="0" xfId="0">
      <alignment wrapText="1"/>
    </xf>
    <xf numFmtId="0" fontId="2" fillId="4" borderId="32" applyAlignment="1" pivotButton="0" quotePrefix="0" xfId="0">
      <alignment horizontal="center" wrapText="1"/>
    </xf>
    <xf numFmtId="0" fontId="14" fillId="5" borderId="33" applyAlignment="1" pivotButton="0" quotePrefix="0" xfId="0">
      <alignment wrapText="1"/>
    </xf>
    <xf numFmtId="0" fontId="14" fillId="0" borderId="33" applyAlignment="1" pivotButton="0" quotePrefix="0" xfId="0">
      <alignment wrapText="1"/>
    </xf>
    <xf numFmtId="0" fontId="14" fillId="0" borderId="34" applyAlignment="1" pivotButton="0" quotePrefix="0" xfId="0">
      <alignment wrapText="1"/>
    </xf>
    <xf numFmtId="165" fontId="0" fillId="5" borderId="5" pivotButton="0" quotePrefix="0" xfId="0"/>
    <xf numFmtId="165" fontId="5" fillId="5" borderId="5" pivotButton="0" quotePrefix="0" xfId="0"/>
    <xf numFmtId="165" fontId="0" fillId="0" borderId="5" pivotButton="0" quotePrefix="0" xfId="0"/>
    <xf numFmtId="165" fontId="5" fillId="0" borderId="5" pivotButton="0" quotePrefix="0" xfId="0"/>
    <xf numFmtId="165" fontId="4" fillId="2" borderId="6" pivotButton="0" quotePrefix="0" xfId="0"/>
    <xf numFmtId="165" fontId="2" fillId="5" borderId="1" pivotButton="0" quotePrefix="0" xfId="0"/>
    <xf numFmtId="167" fontId="2" fillId="0" borderId="2" pivotButton="0" quotePrefix="0" xfId="0"/>
    <xf numFmtId="165" fontId="9" fillId="5" borderId="2" pivotButton="0" quotePrefix="0" xfId="0"/>
    <xf numFmtId="165" fontId="6" fillId="0" borderId="3" pivotButton="0" quotePrefix="0" xfId="0"/>
    <xf numFmtId="165" fontId="5" fillId="0" borderId="2" pivotButton="0" quotePrefix="0" xfId="0"/>
    <xf numFmtId="165" fontId="2" fillId="0" borderId="1" pivotButton="0" quotePrefix="0" xfId="0"/>
    <xf numFmtId="166" fontId="0" fillId="0" borderId="2" pivotButton="0" quotePrefix="0" xfId="0"/>
    <xf numFmtId="166" fontId="5" fillId="0" borderId="2" pivotButton="0" quotePrefix="0" xfId="0"/>
    <xf numFmtId="165" fontId="0" fillId="5" borderId="18" pivotButton="0" quotePrefix="0" xfId="0"/>
    <xf numFmtId="165" fontId="0" fillId="0" borderId="18" pivotButton="0" quotePrefix="0" xfId="0"/>
    <xf numFmtId="165" fontId="4" fillId="2" borderId="24" pivotButton="0" quotePrefix="0" xfId="0"/>
    <xf numFmtId="166" fontId="0" fillId="5" borderId="18" pivotButton="0" quotePrefix="0" xfId="0"/>
    <xf numFmtId="166" fontId="0" fillId="5" borderId="19" pivotButton="0" quotePrefix="0" xfId="0"/>
    <xf numFmtId="166" fontId="0" fillId="0" borderId="18" pivotButton="0" quotePrefix="0" xfId="0"/>
    <xf numFmtId="166" fontId="0" fillId="0" borderId="19" pivotButton="0" quotePrefix="0" xfId="0"/>
    <xf numFmtId="166" fontId="5" fillId="5" borderId="18" pivotButton="0" quotePrefix="0" xfId="0"/>
    <xf numFmtId="166" fontId="5" fillId="0" borderId="18" pivotButton="0" quotePrefix="0" xfId="0"/>
    <xf numFmtId="166" fontId="5" fillId="0" borderId="19" pivotButton="0" quotePrefix="0" xfId="0"/>
    <xf numFmtId="166" fontId="2" fillId="0" borderId="18" pivotButton="0" quotePrefix="0" xfId="0"/>
    <xf numFmtId="166" fontId="2" fillId="0" borderId="19" pivotButton="0" quotePrefix="0" xfId="0"/>
    <xf numFmtId="167" fontId="2" fillId="5" borderId="24" pivotButton="0" quotePrefix="0" xfId="0"/>
    <xf numFmtId="167" fontId="2" fillId="5" borderId="25" pivotButton="0" quotePrefix="0" xfId="0"/>
    <xf numFmtId="167" fontId="2" fillId="5" borderId="18" pivotButton="0" quotePrefix="0" xfId="0"/>
    <xf numFmtId="167" fontId="2" fillId="5" borderId="19" pivotButton="0" quotePrefix="0" xfId="0"/>
    <xf numFmtId="165" fontId="2" fillId="6" borderId="18" pivotButton="0" quotePrefix="0" xfId="0"/>
    <xf numFmtId="165" fontId="2" fillId="6" borderId="19" pivotButton="0" quotePrefix="0" xfId="0"/>
    <xf numFmtId="165" fontId="6" fillId="0" borderId="18" pivotButton="0" quotePrefix="0" xfId="0"/>
    <xf numFmtId="165" fontId="6" fillId="5" borderId="18" pivotButton="0" quotePrefix="0" xfId="0"/>
    <xf numFmtId="168" fontId="19" fillId="0" borderId="18" pivotButton="0" quotePrefix="0" xfId="0"/>
    <xf numFmtId="168" fontId="20" fillId="5" borderId="18" pivotButton="0" quotePrefix="0" xfId="0"/>
    <xf numFmtId="168" fontId="4" fillId="2" borderId="24" pivotButton="0" quotePrefix="0" xfId="0"/>
    <xf numFmtId="167" fontId="0" fillId="5" borderId="18" pivotButton="0" quotePrefix="0" xfId="0"/>
    <xf numFmtId="167" fontId="0" fillId="0" borderId="18" pivotButton="0" quotePrefix="0" xfId="0"/>
    <xf numFmtId="167" fontId="0" fillId="0" borderId="24" pivotButton="0" quotePrefix="0" xfId="0"/>
    <xf numFmtId="167" fontId="2" fillId="6" borderId="18" pivotButton="0" quotePrefix="0" xfId="0"/>
    <xf numFmtId="167" fontId="2" fillId="5" borderId="33" pivotButton="0" quotePrefix="0" xfId="0"/>
    <xf numFmtId="165" fontId="2" fillId="0" borderId="18" pivotButton="0" quotePrefix="0" xfId="0"/>
    <xf numFmtId="165" fontId="2" fillId="0" borderId="33" pivotButton="0" quotePrefix="0" xfId="0"/>
    <xf numFmtId="167" fontId="24" fillId="0" borderId="24" pivotButton="0" quotePrefix="0" xfId="0"/>
    <xf numFmtId="167" fontId="24" fillId="0" borderId="34" pivotButton="0" quotePrefix="0" xfId="0"/>
    <xf numFmtId="165" fontId="0" fillId="0" borderId="2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د. ذيب</author>
  </authors>
  <commentList>
    <comment ref="F6" authorId="0" shapeId="0">
      <text>
        <t>د. ذيب:
REVISED: Up from $1M. AI infrastructure, compute, and engineering require minimum $2.5M.</t>
      </text>
    </comment>
    <comment ref="F7" authorId="0" shapeId="0">
      <text>
        <t>د. ذيب:
REVISED: Down from $12M. LMS/CME is low-capex digital platform; self-funding from Y2.</t>
      </text>
    </comment>
  </commentList>
</comments>
</file>

<file path=xl/comments/comment2.xml><?xml version="1.0" encoding="utf-8"?>
<comments xmlns="http://schemas.openxmlformats.org/spreadsheetml/2006/main">
  <authors>
    <author>د. ذيب</author>
  </authors>
  <commentList>
    <comment ref="H33" authorId="0" shapeId="0">
      <text>
        <t>د. ذيب:
REVISED: 212→160. AI automation reduces headcount needs at scale. $250K rev/head is CRO benchmark.</t>
      </text>
    </comment>
  </commentList>
</comments>
</file>

<file path=xl/comments/comment3.xml><?xml version="1.0" encoding="utf-8"?>
<comments xmlns="http://schemas.openxmlformats.org/spreadsheetml/2006/main">
  <authors>
    <author>د. ذيب</author>
  </authors>
  <commentList>
    <comment ref="B31" authorId="0" shapeId="0">
      <text>
        <t>د. ذيب:
REVISED: 6→8. Minimum viable AI team: 2 ML eng, 2 fullstack, 1 DevOps, 1 data eng, 1 content, 1 PM</t>
      </text>
    </comment>
    <comment ref="B34" authorId="0" shapeId="0">
      <text>
        <t>د. ذيب:
MVP: AI/ML infrastructure ($400K), engineering payroll ($300K), platform build ($200K), data architecture ($100K)</t>
      </text>
    </comment>
    <comment ref="B35" authorId="0" shapeId="0">
      <text>
        <t>د. ذيب:
SCALING: GPU compute expansion ($500K), team growth to 15 ($450K), platform scalability ($300K), content licensing ($250K)</t>
      </text>
    </comment>
  </commentList>
</comments>
</file>

<file path=xl/comments/comment4.xml><?xml version="1.0" encoding="utf-8"?>
<comments xmlns="http://schemas.openxmlformats.org/spreadsheetml/2006/main">
  <authors>
    <author>د. ذيب</author>
  </authors>
  <commentList>
    <comment ref="B32" authorId="0" shapeId="0">
      <text>
        <t>د. ذيب:
REVISED: 25→10. LMS/CME platform at $1.5M rev needs 8-12 people, not 25.</t>
      </text>
    </comment>
    <comment ref="F32" authorId="0" shapeId="0">
      <text>
        <t>د. ذيب:
REVISED: 140→60. Digital platform at $28M rev; $467K/head is healthy SaaS efficiency.</t>
      </text>
    </comment>
    <comment ref="B35" authorId="0" shapeId="0">
      <text>
        <t>د. ذيب:
REVISED: Down from $12M (Series A $5M + Series B $7M). LMS/CME platform is low-capex; self-funding from Y2 at $4M revenue.</t>
      </text>
    </comment>
    <comment ref="B36" authorId="0" shapeId="0">
      <text>
        <t>د. ذيب:
REMOVED: $7M Series B not justified. Business generates positive EBITDA from Y1 at 12% margin, self-funds growth.</t>
      </text>
    </comment>
  </commentList>
</comments>
</file>

<file path=xl/comments/comment5.xml><?xml version="1.0" encoding="utf-8"?>
<comments xmlns="http://schemas.openxmlformats.org/spreadsheetml/2006/main">
  <authors>
    <author>د. ذيب</author>
  </authors>
  <commentList>
    <comment ref="G5" authorId="0" shapeId="0">
      <text>
        <t>د. ذيب:
Waraqa 5-year model ends at 2030</t>
      </text>
    </comment>
    <comment ref="G6" authorId="0" shapeId="0">
      <text>
        <t>د. ذيب:
NAMA Knowledge 5-year model ends at 2030</t>
      </text>
    </comment>
    <comment ref="B40" authorId="0" shapeId="0">
      <text>
        <t>REVISED: NAMA Med $2.5M + Waraqa $1M + NK $0.5M + BIO $1.5M = $5.5M deployed Y1</t>
      </text>
    </comment>
    <comment ref="C40" authorId="0" shapeId="0">
      <text>
        <t>د. ذيب:
Y2: +$2.5M NM + $1.5M W + $0.5M NK + $1.5M BIO = $6M additional</t>
      </text>
    </comment>
    <comment ref="D40" authorId="0" shapeId="0">
      <text>
        <t>د. ذيب:
Y3: +$1.5M BIO Stage II final tranche. Full deployment complete.</t>
      </text>
    </comment>
  </commentList>
</comments>
</file>

<file path=xl/comments/comment6.xml><?xml version="1.0" encoding="utf-8"?>
<comments xmlns="http://schemas.openxmlformats.org/spreadsheetml/2006/main">
  <authors>
    <author>د. ذيب</author>
  </authors>
  <commentList>
    <comment ref="B5" authorId="0" shapeId="0">
      <text>
        <t>د. ذيب:
REVISED: Up from $1M. AI infrastructure + platform engineering + compute costs.</t>
      </text>
    </comment>
    <comment ref="B6" authorId="0" shapeId="0">
      <text>
        <t>د. ذيب:
REVISED: Down from $12M. Low-capex LMS/CME platform, self-funds from Y2.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1B4F72"/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25"/>
  <cols>
    <col width="35.53125" customWidth="1" style="42" min="1" max="1"/>
    <col width="23.1328125" customWidth="1" style="42" min="2" max="3"/>
    <col width="35.53125" customWidth="1" style="42" min="4" max="4"/>
    <col width="23.1328125" customWidth="1" style="42" min="5" max="7"/>
    <col width="19.53125" customWidth="1" style="42" min="8" max="8"/>
  </cols>
  <sheetData>
    <row r="1" ht="21" customHeight="1" s="42">
      <c r="A1" s="45" t="inlineStr">
        <is>
          <t>SAUDI CLINICAL INTELLIGENCE GROUP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6" t="inlineStr">
        <is>
          <t>Sovereign Clinical Knowledge Infrastructure Platform — Executive Dashboard</t>
        </is>
      </c>
      <c r="B2" s="47" t="n"/>
      <c r="C2" s="47" t="n"/>
      <c r="D2" s="47" t="n"/>
      <c r="E2" s="47" t="n"/>
      <c r="F2" s="47" t="n"/>
      <c r="G2" s="47" t="n"/>
      <c r="H2" s="47" t="n"/>
    </row>
    <row r="3" ht="14.65" customHeight="1" s="42" thickBot="1"/>
    <row r="4">
      <c r="A4" s="59" t="inlineStr">
        <is>
          <t>COMPANY OVERVIEW</t>
        </is>
      </c>
      <c r="B4" s="58" t="inlineStr">
        <is>
          <t>2026 Revenue</t>
        </is>
      </c>
      <c r="C4" s="58" t="inlineStr">
        <is>
          <t>2031 Revenue</t>
        </is>
      </c>
      <c r="D4" s="58" t="inlineStr">
        <is>
          <t>CAGR</t>
        </is>
      </c>
      <c r="E4" s="58" t="inlineStr">
        <is>
          <t>EBITDA Margin at Scale</t>
        </is>
      </c>
      <c r="F4" s="58" t="inlineStr">
        <is>
          <t>Investment Required</t>
        </is>
      </c>
      <c r="G4" s="58" t="inlineStr">
        <is>
          <t>Target Valuation</t>
        </is>
      </c>
      <c r="H4" s="63" t="inlineStr">
        <is>
          <t>Status</t>
        </is>
      </c>
    </row>
    <row r="5">
      <c r="A5" s="60" t="inlineStr">
        <is>
          <t>NAMA Medical</t>
        </is>
      </c>
      <c r="B5" s="49" t="n">
        <v>2500000</v>
      </c>
      <c r="C5" s="49" t="n">
        <v>40000000</v>
      </c>
      <c r="D5" s="223">
        <f>(C5/B5)^(1/5)-1</f>
        <v/>
      </c>
      <c r="E5" s="224" t="n">
        <v>0.525</v>
      </c>
      <c r="F5" s="49" t="n">
        <v>5000000</v>
      </c>
      <c r="G5" s="49" t="n">
        <v>100000000</v>
      </c>
      <c r="H5" s="64" t="inlineStr">
        <is>
          <t>Clinical CRO</t>
        </is>
      </c>
    </row>
    <row r="6">
      <c r="A6" s="61" t="inlineStr">
        <is>
          <t>Waraqa</t>
        </is>
      </c>
      <c r="B6" s="52" t="n">
        <v>1200000</v>
      </c>
      <c r="C6" s="52" t="n">
        <v>24000000</v>
      </c>
      <c r="D6" s="225">
        <f>(C6/B6)^(1/5)-1</f>
        <v/>
      </c>
      <c r="E6" s="226" t="n">
        <v>0.45</v>
      </c>
      <c r="F6" s="52" t="n">
        <v>2500000</v>
      </c>
      <c r="G6" s="52" t="n">
        <v>120000000</v>
      </c>
      <c r="H6" s="65" t="inlineStr">
        <is>
          <t>Publishing Platform</t>
        </is>
      </c>
    </row>
    <row r="7">
      <c r="A7" s="60" t="inlineStr">
        <is>
          <t>NAMA Knowledge</t>
        </is>
      </c>
      <c r="B7" s="49" t="n">
        <v>1500000</v>
      </c>
      <c r="C7" s="49" t="n">
        <v>28000000</v>
      </c>
      <c r="D7" s="223">
        <f>(C7/B7)^(1/5)-1</f>
        <v/>
      </c>
      <c r="E7" s="224" t="n">
        <v>0.34</v>
      </c>
      <c r="F7" s="49" t="n">
        <v>1000000</v>
      </c>
      <c r="G7" s="49" t="n">
        <v>84000000</v>
      </c>
      <c r="H7" s="64" t="inlineStr">
        <is>
          <t>MedEd / LMS</t>
        </is>
      </c>
    </row>
    <row r="8">
      <c r="A8" s="61" t="inlineStr">
        <is>
          <t>NAMA BIO</t>
        </is>
      </c>
      <c r="B8" s="52" t="n">
        <v>2733333</v>
      </c>
      <c r="C8" s="52" t="n">
        <v>15746667</v>
      </c>
      <c r="D8" s="225">
        <f>(C8/B8)^(1/5)-1</f>
        <v/>
      </c>
      <c r="E8" s="226" t="n">
        <v>0.4</v>
      </c>
      <c r="F8" s="52" t="n">
        <v>4500000</v>
      </c>
      <c r="G8" s="52" t="n">
        <v>50000000</v>
      </c>
      <c r="H8" s="65" t="inlineStr">
        <is>
          <t>Bioequivalence Lab</t>
        </is>
      </c>
    </row>
    <row r="9" ht="14.65" customHeight="1" s="42" thickBot="1">
      <c r="A9" s="62" t="inlineStr">
        <is>
          <t>CONSOLIDATED TOTAL</t>
        </is>
      </c>
      <c r="B9" s="55">
        <f>SUM(B5:B8)</f>
        <v/>
      </c>
      <c r="C9" s="55">
        <f>SUM(C5:C8)</f>
        <v/>
      </c>
      <c r="D9" s="227">
        <f>(C9/B9)^(1/5)-1</f>
        <v/>
      </c>
      <c r="E9" s="57" t="n"/>
      <c r="F9" s="55">
        <f>SUM(F5:F8)</f>
        <v/>
      </c>
      <c r="G9" s="55">
        <f>SUM(G5:G8)</f>
        <v/>
      </c>
      <c r="H9" s="66" t="inlineStr">
        <is>
          <t>4 Companies</t>
        </is>
      </c>
    </row>
    <row r="10"/>
    <row r="11">
      <c r="A11" s="48" t="inlineStr">
        <is>
          <t>KEY GROUP METRICS (2026-2031)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s="67" t="inlineStr">
        <is>
          <t>Combined Revenue (2026)</t>
        </is>
      </c>
      <c r="B12" s="68">
        <f>'Consolidated P&amp;L'!B9</f>
        <v/>
      </c>
      <c r="C12" s="22" t="n"/>
      <c r="D12" s="67" t="inlineStr">
        <is>
          <t>Revenue CAGR (5yr)</t>
        </is>
      </c>
      <c r="E12" s="228">
        <f>D9</f>
        <v/>
      </c>
    </row>
    <row r="13">
      <c r="A13" s="12" t="inlineStr">
        <is>
          <t>Combined Revenue (2031)</t>
        </is>
      </c>
      <c r="B13" s="70">
        <f>'Consolidated P&amp;L'!G9</f>
        <v/>
      </c>
      <c r="C13" s="12" t="n"/>
      <c r="D13" s="12" t="inlineStr">
        <is>
          <t>Revenue per Employee (2030)</t>
        </is>
      </c>
      <c r="E13" s="16">
        <f>'Consolidated P&amp;L'!F9/'Consolidated P&amp;L'!F37</f>
        <v/>
      </c>
    </row>
    <row r="14">
      <c r="A14" s="71" t="inlineStr">
        <is>
          <t>Peak Revenue (2030)</t>
        </is>
      </c>
      <c r="B14" s="72">
        <f>'Consolidated P&amp;L'!F9</f>
        <v/>
      </c>
      <c r="C14" s="12" t="n"/>
      <c r="D14" s="71" t="inlineStr">
        <is>
          <t>Cumulative Revenue (6yr)</t>
        </is>
      </c>
      <c r="E14" s="73">
        <f>SUM('Consolidated P&amp;L'!B9:G9)</f>
        <v/>
      </c>
    </row>
    <row r="15">
      <c r="A15" s="12" t="inlineStr">
        <is>
          <t>Combined EBITDA (2030)</t>
        </is>
      </c>
      <c r="B15" s="70">
        <f>'Consolidated P&amp;L'!F29</f>
        <v/>
      </c>
      <c r="C15" s="12" t="n"/>
      <c r="D15" s="12" t="inlineStr">
        <is>
          <t>Investment MOIC (on Target)</t>
        </is>
      </c>
      <c r="E15" s="229">
        <f>G9/F9</f>
        <v/>
      </c>
    </row>
    <row r="16">
      <c r="A16" s="71" t="inlineStr">
        <is>
          <t>EBITDA Margin (2030)</t>
        </is>
      </c>
      <c r="B16" s="230">
        <f>'Consolidated P&amp;L'!F30</f>
        <v/>
      </c>
      <c r="C16" s="12" t="n"/>
      <c r="D16" s="71" t="inlineStr">
        <is>
          <t>Conservative Valuation</t>
        </is>
      </c>
      <c r="E16" s="76" t="n">
        <v>200000000</v>
      </c>
    </row>
    <row r="17">
      <c r="A17" s="12" t="inlineStr">
        <is>
          <t>Total Investment Required</t>
        </is>
      </c>
      <c r="B17" s="16">
        <f>F9</f>
        <v/>
      </c>
      <c r="C17" s="12" t="n"/>
      <c r="D17" s="12" t="inlineStr">
        <is>
          <t>Base Case Valuation</t>
        </is>
      </c>
      <c r="E17" s="11" t="n">
        <v>354000000</v>
      </c>
    </row>
    <row r="18">
      <c r="A18" s="77" t="inlineStr">
        <is>
          <t>Group Valuation (Target)</t>
        </is>
      </c>
      <c r="B18" s="78">
        <f>G9</f>
        <v/>
      </c>
      <c r="C18" s="12" t="n"/>
      <c r="D18" s="71" t="inlineStr">
        <is>
          <t>Optimistic Valuation</t>
        </is>
      </c>
      <c r="E18" s="76" t="n">
        <v>500000000</v>
      </c>
    </row>
    <row r="19">
      <c r="A19" s="20" t="inlineStr">
        <is>
          <t>Total Headcount (2030)</t>
        </is>
      </c>
      <c r="B19" s="79">
        <f>'Consolidated P&amp;L'!F37</f>
        <v/>
      </c>
      <c r="C19" s="20" t="n"/>
      <c r="D19" s="20" t="inlineStr">
        <is>
          <t>Discount Rate (WACC)</t>
        </is>
      </c>
      <c r="E19" s="231" t="n">
        <v>0.15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E86C1"/>
    <outlinePr summaryBelow="1" summaryRight="1"/>
    <pageSetUpPr/>
  </sheetPr>
  <dimension ref="A1:I42"/>
  <sheetViews>
    <sheetView workbookViewId="0">
      <pane ySplit="2" topLeftCell="A23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1.33203125" customWidth="1" style="42" min="2" max="8"/>
    <col width="26.6640625" customWidth="1" style="42" min="9" max="9"/>
  </cols>
  <sheetData>
    <row r="1" ht="18" customHeight="1" s="42">
      <c r="A1" s="2" t="inlineStr">
        <is>
          <t>NAMA Medical — Detailed P&amp;L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6" t="inlineStr">
        <is>
          <t>($, USD)</t>
        </is>
      </c>
      <c r="B2" s="7" t="n">
        <v>2025</v>
      </c>
      <c r="C2" s="7" t="n">
        <v>2026</v>
      </c>
      <c r="D2" s="7" t="n">
        <v>2027</v>
      </c>
      <c r="E2" s="7" t="n">
        <v>2028</v>
      </c>
      <c r="F2" s="7" t="n">
        <v>2029</v>
      </c>
      <c r="G2" s="7" t="n">
        <v>2030</v>
      </c>
      <c r="H2" s="7" t="n">
        <v>2031</v>
      </c>
      <c r="I2" s="4" t="inlineStr">
        <is>
          <t>Notes</t>
        </is>
      </c>
    </row>
    <row r="3">
      <c r="A3" s="8" t="inlineStr">
        <is>
          <t>REVENUE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0" t="inlineStr">
        <is>
          <t>Total Revenue</t>
        </is>
      </c>
      <c r="B4" s="11" t="n">
        <v>300000</v>
      </c>
      <c r="C4" s="11" t="n">
        <v>2500000</v>
      </c>
      <c r="D4" s="11" t="n">
        <v>5500000</v>
      </c>
      <c r="E4" s="11" t="n">
        <v>10000000</v>
      </c>
      <c r="F4" s="11" t="n">
        <v>18000000</v>
      </c>
      <c r="G4" s="11" t="n">
        <v>30000000</v>
      </c>
      <c r="H4" s="11" t="n">
        <v>40000000</v>
      </c>
    </row>
    <row r="5">
      <c r="A5" s="12" t="inlineStr">
        <is>
          <t xml:space="preserve">  Interventional Trials (39%)</t>
        </is>
      </c>
      <c r="B5" s="13">
        <f>B$4*0.39</f>
        <v/>
      </c>
      <c r="C5" s="13">
        <f>C$4*0.39</f>
        <v/>
      </c>
      <c r="D5" s="13">
        <f>D$4*0.39</f>
        <v/>
      </c>
      <c r="E5" s="13">
        <f>E$4*0.39</f>
        <v/>
      </c>
      <c r="F5" s="13">
        <f>F$4*0.39</f>
        <v/>
      </c>
      <c r="G5" s="13">
        <f>G$4*0.39</f>
        <v/>
      </c>
      <c r="H5" s="13">
        <f>H$4*0.39</f>
        <v/>
      </c>
    </row>
    <row r="6">
      <c r="A6" s="12" t="inlineStr">
        <is>
          <t xml:space="preserve">  Bioequivalence (19%)</t>
        </is>
      </c>
      <c r="B6" s="13">
        <f>B$4*0.19</f>
        <v/>
      </c>
      <c r="C6" s="13">
        <f>C$4*0.19</f>
        <v/>
      </c>
      <c r="D6" s="13">
        <f>D$4*0.19</f>
        <v/>
      </c>
      <c r="E6" s="13">
        <f>E$4*0.19</f>
        <v/>
      </c>
      <c r="F6" s="13">
        <f>F$4*0.19</f>
        <v/>
      </c>
      <c r="G6" s="13">
        <f>G$4*0.19</f>
        <v/>
      </c>
      <c r="H6" s="13">
        <f>H$4*0.19</f>
        <v/>
      </c>
    </row>
    <row r="7">
      <c r="A7" s="12" t="inlineStr">
        <is>
          <t xml:space="preserve">  Real-World Evidence (17%)</t>
        </is>
      </c>
      <c r="B7" s="13">
        <f>B$4*0.17</f>
        <v/>
      </c>
      <c r="C7" s="13">
        <f>C$4*0.17</f>
        <v/>
      </c>
      <c r="D7" s="13">
        <f>D$4*0.17</f>
        <v/>
      </c>
      <c r="E7" s="13">
        <f>E$4*0.17</f>
        <v/>
      </c>
      <c r="F7" s="13">
        <f>F$4*0.17</f>
        <v/>
      </c>
      <c r="G7" s="13">
        <f>G$4*0.17</f>
        <v/>
      </c>
      <c r="H7" s="13">
        <f>H$4*0.17</f>
        <v/>
      </c>
    </row>
    <row r="8">
      <c r="A8" s="12" t="inlineStr">
        <is>
          <t xml:space="preserve">  AI Services (9%)</t>
        </is>
      </c>
      <c r="B8" s="13">
        <f>B$4*0.09</f>
        <v/>
      </c>
      <c r="C8" s="13">
        <f>C$4*0.09</f>
        <v/>
      </c>
      <c r="D8" s="13">
        <f>D$4*0.09</f>
        <v/>
      </c>
      <c r="E8" s="13">
        <f>E$4*0.09</f>
        <v/>
      </c>
      <c r="F8" s="13">
        <f>F$4*0.09</f>
        <v/>
      </c>
      <c r="G8" s="13">
        <f>G$4*0.09</f>
        <v/>
      </c>
      <c r="H8" s="13">
        <f>H$4*0.09</f>
        <v/>
      </c>
    </row>
    <row r="9">
      <c r="A9" s="12" t="inlineStr">
        <is>
          <t xml:space="preserve">  Medical Writing (7%)</t>
        </is>
      </c>
      <c r="B9" s="13">
        <f>B$4*0.07</f>
        <v/>
      </c>
      <c r="C9" s="13">
        <f>C$4*0.07</f>
        <v/>
      </c>
      <c r="D9" s="13">
        <f>D$4*0.07</f>
        <v/>
      </c>
      <c r="E9" s="13">
        <f>E$4*0.07</f>
        <v/>
      </c>
      <c r="F9" s="13">
        <f>F$4*0.07</f>
        <v/>
      </c>
      <c r="G9" s="13">
        <f>G$4*0.07</f>
        <v/>
      </c>
      <c r="H9" s="13">
        <f>H$4*0.07</f>
        <v/>
      </c>
    </row>
    <row r="10">
      <c r="A10" s="12" t="inlineStr">
        <is>
          <t xml:space="preserve">  SMO Services (6%)</t>
        </is>
      </c>
      <c r="B10" s="13">
        <f>B$4*0.06</f>
        <v/>
      </c>
      <c r="C10" s="13">
        <f>C$4*0.06</f>
        <v/>
      </c>
      <c r="D10" s="13">
        <f>D$4*0.06</f>
        <v/>
      </c>
      <c r="E10" s="13">
        <f>E$4*0.06</f>
        <v/>
      </c>
      <c r="F10" s="13">
        <f>F$4*0.06</f>
        <v/>
      </c>
      <c r="G10" s="13">
        <f>G$4*0.06</f>
        <v/>
      </c>
      <c r="H10" s="13">
        <f>H$4*0.06</f>
        <v/>
      </c>
    </row>
    <row r="11">
      <c r="A11" s="12" t="inlineStr">
        <is>
          <t xml:space="preserve">  Publishing (3%)</t>
        </is>
      </c>
      <c r="B11" s="13">
        <f>B$4*0.03</f>
        <v/>
      </c>
      <c r="C11" s="13">
        <f>C$4*0.03</f>
        <v/>
      </c>
      <c r="D11" s="13">
        <f>D$4*0.03</f>
        <v/>
      </c>
      <c r="E11" s="13">
        <f>E$4*0.03</f>
        <v/>
      </c>
      <c r="F11" s="13">
        <f>F$4*0.03</f>
        <v/>
      </c>
      <c r="G11" s="13">
        <f>G$4*0.03</f>
        <v/>
      </c>
      <c r="H11" s="13">
        <f>H$4*0.03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8" t="inlineStr">
        <is>
          <t>COST OF REVENUE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14" t="inlineStr">
        <is>
          <t>COGS % of Revenue</t>
        </is>
      </c>
      <c r="B14" s="232" t="n">
        <v>0.35</v>
      </c>
      <c r="C14" s="232" t="n">
        <v>0.35</v>
      </c>
      <c r="D14" s="232" t="n">
        <v>0.34</v>
      </c>
      <c r="E14" s="232" t="n">
        <v>0.33</v>
      </c>
      <c r="F14" s="232" t="n">
        <v>0.32</v>
      </c>
      <c r="G14" s="232" t="n">
        <v>0.31</v>
      </c>
      <c r="H14" s="232" t="n">
        <v>0.3</v>
      </c>
    </row>
    <row r="15">
      <c r="A15" s="12" t="inlineStr">
        <is>
          <t>Cost of Revenue</t>
        </is>
      </c>
      <c r="B15" s="13">
        <f>B4*B14</f>
        <v/>
      </c>
      <c r="C15" s="13">
        <f>C4*C14</f>
        <v/>
      </c>
      <c r="D15" s="13">
        <f>D4*D14</f>
        <v/>
      </c>
      <c r="E15" s="13">
        <f>E4*E14</f>
        <v/>
      </c>
      <c r="F15" s="13">
        <f>F4*F14</f>
        <v/>
      </c>
      <c r="G15" s="13">
        <f>G4*G14</f>
        <v/>
      </c>
      <c r="H15" s="13">
        <f>H4*H14</f>
        <v/>
      </c>
    </row>
    <row r="16" ht="14.65" customHeight="1" s="42" thickBot="1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3" t="inlineStr">
        <is>
          <t>Gross Profit</t>
        </is>
      </c>
      <c r="B17" s="24">
        <f>B4-B15</f>
        <v/>
      </c>
      <c r="C17" s="24">
        <f>C4-C15</f>
        <v/>
      </c>
      <c r="D17" s="24">
        <f>D4-D15</f>
        <v/>
      </c>
      <c r="E17" s="24">
        <f>E4-E15</f>
        <v/>
      </c>
      <c r="F17" s="24">
        <f>F4-F15</f>
        <v/>
      </c>
      <c r="G17" s="24">
        <f>G4-G15</f>
        <v/>
      </c>
      <c r="H17" s="24">
        <f>H4-H15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</row>
    <row r="19">
      <c r="A19" s="8" t="inlineStr">
        <is>
          <t>OPERATING EXPENSES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12" t="inlineStr">
        <is>
          <t xml:space="preserve">  Salaries &amp; Wages</t>
        </is>
      </c>
      <c r="B20" s="17" t="n">
        <v>650000</v>
      </c>
      <c r="C20" s="17" t="n">
        <v>1250000</v>
      </c>
      <c r="D20" s="17" t="n">
        <v>2025000</v>
      </c>
      <c r="E20" s="17" t="n">
        <v>2800000</v>
      </c>
      <c r="F20" s="17" t="n">
        <v>3850000</v>
      </c>
      <c r="G20" s="17" t="n">
        <v>5600000</v>
      </c>
      <c r="H20" s="17" t="n">
        <v>6360000</v>
      </c>
      <c r="I20" s="5" t="inlineStr">
        <is>
          <t>~$30K avg cost/head (KSA rates)</t>
        </is>
      </c>
    </row>
    <row r="21">
      <c r="A21" s="12" t="inlineStr">
        <is>
          <t xml:space="preserve">  Technology &amp; IT</t>
        </is>
      </c>
      <c r="B21" s="13">
        <f>B4*0.08</f>
        <v/>
      </c>
      <c r="C21" s="13">
        <f>C4*0.08</f>
        <v/>
      </c>
      <c r="D21" s="13">
        <f>D4*0.08</f>
        <v/>
      </c>
      <c r="E21" s="13">
        <f>E4*0.08</f>
        <v/>
      </c>
      <c r="F21" s="13">
        <f>F4*0.08</f>
        <v/>
      </c>
      <c r="G21" s="13">
        <f>G4*0.08</f>
        <v/>
      </c>
      <c r="H21" s="13">
        <f>H4*0.08</f>
        <v/>
      </c>
    </row>
    <row r="22">
      <c r="A22" s="12" t="inlineStr">
        <is>
          <t xml:space="preserve">  Marketing &amp; BD</t>
        </is>
      </c>
      <c r="B22" s="13">
        <f>B4*0.1</f>
        <v/>
      </c>
      <c r="C22" s="13">
        <f>C4*0.1</f>
        <v/>
      </c>
      <c r="D22" s="13">
        <f>D4*0.08</f>
        <v/>
      </c>
      <c r="E22" s="13">
        <f>E4*0.07</f>
        <v/>
      </c>
      <c r="F22" s="13">
        <f>F4*0.06</f>
        <v/>
      </c>
      <c r="G22" s="13">
        <f>G4*0.05</f>
        <v/>
      </c>
      <c r="H22" s="13">
        <f>H4*0.04</f>
        <v/>
      </c>
    </row>
    <row r="23">
      <c r="A23" s="12" t="inlineStr">
        <is>
          <t xml:space="preserve">  Rent &amp; Facilities</t>
        </is>
      </c>
      <c r="B23" s="17" t="n">
        <v>200000</v>
      </c>
      <c r="C23" s="13">
        <f>B23*1.1</f>
        <v/>
      </c>
      <c r="D23" s="13">
        <f>C23*1.1</f>
        <v/>
      </c>
      <c r="E23" s="13">
        <f>D23*1.1</f>
        <v/>
      </c>
      <c r="F23" s="13">
        <f>E23*1.1</f>
        <v/>
      </c>
      <c r="G23" s="13">
        <f>F23*1.1</f>
        <v/>
      </c>
      <c r="H23" s="13">
        <f>G23*1.1</f>
        <v/>
      </c>
    </row>
    <row r="24">
      <c r="A24" s="12" t="inlineStr">
        <is>
          <t xml:space="preserve">  G&amp;A</t>
        </is>
      </c>
      <c r="B24" s="13">
        <f>B4*0.05</f>
        <v/>
      </c>
      <c r="C24" s="13">
        <f>C4*0.05</f>
        <v/>
      </c>
      <c r="D24" s="13">
        <f>D4*0.05</f>
        <v/>
      </c>
      <c r="E24" s="13">
        <f>E4*0.05</f>
        <v/>
      </c>
      <c r="F24" s="13">
        <f>F4*0.05</f>
        <v/>
      </c>
      <c r="G24" s="13">
        <f>G4*0.05</f>
        <v/>
      </c>
      <c r="H24" s="13">
        <f>H4*0.05</f>
        <v/>
      </c>
    </row>
    <row r="25" ht="14.65" customHeight="1" s="42" thickBot="1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3" t="inlineStr">
        <is>
          <t>Total Operating Expenses</t>
        </is>
      </c>
      <c r="B26" s="24">
        <f>SUM(B20:B24)</f>
        <v/>
      </c>
      <c r="C26" s="24">
        <f>SUM(C20:C24)</f>
        <v/>
      </c>
      <c r="D26" s="24">
        <f>SUM(D20:D24)</f>
        <v/>
      </c>
      <c r="E26" s="24">
        <f>SUM(E20:E24)</f>
        <v/>
      </c>
      <c r="F26" s="24">
        <f>SUM(F20:F24)</f>
        <v/>
      </c>
      <c r="G26" s="24">
        <f>SUM(G20:G24)</f>
        <v/>
      </c>
      <c r="H26" s="24">
        <f>SUM(H20:H24)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 ht="14.65" customHeight="1" s="42" thickBot="1">
      <c r="A28" s="25" t="inlineStr">
        <is>
          <t>EBITDA</t>
        </is>
      </c>
      <c r="B28" s="26" t="n"/>
      <c r="C28" s="26" t="n"/>
      <c r="D28" s="26" t="n"/>
      <c r="E28" s="26" t="n"/>
      <c r="F28" s="26" t="n"/>
      <c r="G28" s="26" t="n"/>
      <c r="H28" s="26" t="n"/>
    </row>
    <row r="29">
      <c r="A29" s="23" t="inlineStr">
        <is>
          <t>EBITDA</t>
        </is>
      </c>
      <c r="B29" s="24">
        <f>B17-B26</f>
        <v/>
      </c>
      <c r="C29" s="24">
        <f>C17-C26</f>
        <v/>
      </c>
      <c r="D29" s="24">
        <f>D17-D26</f>
        <v/>
      </c>
      <c r="E29" s="24">
        <f>E17-E26</f>
        <v/>
      </c>
      <c r="F29" s="24">
        <f>F17-F26</f>
        <v/>
      </c>
      <c r="G29" s="24">
        <f>G17-G26</f>
        <v/>
      </c>
      <c r="H29" s="24">
        <f>H17-H26</f>
        <v/>
      </c>
    </row>
    <row r="30">
      <c r="A30" s="27" t="inlineStr">
        <is>
          <t>EBITDA Margin %</t>
        </is>
      </c>
      <c r="B30" s="233">
        <f>IF(B4=0,0,B29/B4)</f>
        <v/>
      </c>
      <c r="C30" s="233">
        <f>IF(C4=0,0,C29/C4)</f>
        <v/>
      </c>
      <c r="D30" s="233">
        <f>IF(D4=0,0,D29/D4)</f>
        <v/>
      </c>
      <c r="E30" s="233">
        <f>IF(E4=0,0,E29/E4)</f>
        <v/>
      </c>
      <c r="F30" s="233">
        <f>IF(F4=0,0,F29/F4)</f>
        <v/>
      </c>
      <c r="G30" s="233">
        <f>IF(G4=0,0,G29/G4)</f>
        <v/>
      </c>
      <c r="H30" s="233">
        <f>IF(H4=0,0,H29/H4)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8" t="inlineStr">
        <is>
          <t>KEY METRICS</t>
        </is>
      </c>
      <c r="B32" s="9" t="n"/>
      <c r="C32" s="9" t="n"/>
      <c r="D32" s="9" t="n"/>
      <c r="E32" s="9" t="n"/>
      <c r="F32" s="9" t="n"/>
      <c r="G32" s="9" t="n"/>
      <c r="H32" s="9" t="n"/>
    </row>
    <row r="33">
      <c r="A33" s="12" t="inlineStr">
        <is>
          <t>Headcount</t>
        </is>
      </c>
      <c r="B33" s="18" t="n">
        <v>13</v>
      </c>
      <c r="C33" s="18" t="n">
        <v>25</v>
      </c>
      <c r="D33" s="18" t="n">
        <v>45</v>
      </c>
      <c r="E33" s="18" t="n">
        <v>70</v>
      </c>
      <c r="F33" s="18" t="n">
        <v>110</v>
      </c>
      <c r="G33" s="18" t="n">
        <v>160</v>
      </c>
      <c r="H33" s="18" t="n">
        <v>160</v>
      </c>
    </row>
    <row r="34">
      <c r="A34" s="10" t="inlineStr">
        <is>
          <t>Revenue / Employee</t>
        </is>
      </c>
      <c r="B34" s="16">
        <f>IF(B33=0,0,B4/B33)</f>
        <v/>
      </c>
      <c r="C34" s="16">
        <f>IF(C33=0,0,C4/C33)</f>
        <v/>
      </c>
      <c r="D34" s="16">
        <f>IF(D33=0,0,D4/D33)</f>
        <v/>
      </c>
      <c r="E34" s="16">
        <f>IF(E33=0,0,E4/E33)</f>
        <v/>
      </c>
      <c r="F34" s="16">
        <f>IF(F33=0,0,F4/F33)</f>
        <v/>
      </c>
      <c r="G34" s="16">
        <f>IF(G33=0,0,G4/G33)</f>
        <v/>
      </c>
      <c r="H34" s="16">
        <f>IF(H33=0,0,H4/H33)</f>
        <v/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8" t="inlineStr">
        <is>
          <t>INVESTMENT</t>
        </is>
      </c>
      <c r="B36" s="9" t="n"/>
      <c r="C36" s="9" t="n"/>
      <c r="D36" s="9" t="n"/>
      <c r="E36" s="9" t="n"/>
      <c r="F36" s="9" t="n"/>
      <c r="G36" s="9" t="n"/>
      <c r="H36" s="9" t="n"/>
    </row>
    <row r="37">
      <c r="A37" s="12" t="inlineStr">
        <is>
          <t>Investment Deployed</t>
        </is>
      </c>
      <c r="B37" s="17" t="n">
        <v>2500000</v>
      </c>
      <c r="C37" s="17" t="n">
        <v>2500000</v>
      </c>
      <c r="D37" s="234" t="n">
        <v>0</v>
      </c>
      <c r="E37" s="234" t="n">
        <v>0</v>
      </c>
      <c r="F37" s="234" t="n">
        <v>0</v>
      </c>
      <c r="G37" s="234" t="n">
        <v>0</v>
      </c>
      <c r="H37" s="234" t="n">
        <v>0</v>
      </c>
    </row>
    <row r="38">
      <c r="A38" s="12" t="inlineStr">
        <is>
          <t>Cumulative Investment</t>
        </is>
      </c>
      <c r="B38" s="16">
        <f>B37</f>
        <v/>
      </c>
      <c r="C38" s="16">
        <f>B38+C37</f>
        <v/>
      </c>
      <c r="D38" s="16">
        <f>C38+D37</f>
        <v/>
      </c>
      <c r="E38" s="16">
        <f>D38+E37</f>
        <v/>
      </c>
      <c r="F38" s="16">
        <f>E38+F37</f>
        <v/>
      </c>
      <c r="G38" s="16">
        <f>F38+G37</f>
        <v/>
      </c>
      <c r="H38" s="16">
        <f>G38+H37</f>
        <v/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8" t="inlineStr">
        <is>
          <t>VALUATION</t>
        </is>
      </c>
      <c r="B40" s="9" t="n"/>
      <c r="C40" s="9" t="n"/>
      <c r="D40" s="9" t="n"/>
      <c r="E40" s="9" t="n"/>
      <c r="F40" s="9" t="n"/>
      <c r="G40" s="9" t="n"/>
      <c r="H40" s="9" t="n"/>
    </row>
    <row r="41">
      <c r="A41" s="12" t="inlineStr">
        <is>
          <t>Current Valuation (DCF)</t>
        </is>
      </c>
      <c r="B41" s="11" t="n">
        <v>60000000</v>
      </c>
      <c r="C41" s="12" t="n"/>
      <c r="D41" s="12" t="n"/>
      <c r="E41" s="12" t="n"/>
      <c r="F41" s="12" t="n"/>
      <c r="G41" s="12" t="n"/>
      <c r="H41" s="12" t="n"/>
    </row>
    <row r="42">
      <c r="A42" s="20" t="inlineStr">
        <is>
          <t>Target Valuation (2030)</t>
        </is>
      </c>
      <c r="B42" s="21" t="n">
        <v>100000000</v>
      </c>
      <c r="C42" s="20" t="n"/>
      <c r="D42" s="20" t="n"/>
      <c r="E42" s="20" t="n"/>
      <c r="F42" s="20" t="n"/>
      <c r="G42" s="20" t="n"/>
      <c r="H42" s="20" t="n"/>
    </row>
  </sheetData>
  <conditionalFormatting sqref="B29:H29">
    <cfRule type="expression" priority="1"/>
    <cfRule type="expression" priority="2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27AE60"/>
    <outlinePr summaryBelow="1" summaryRight="1"/>
    <pageSetUpPr/>
  </sheetPr>
  <dimension ref="A1:G39"/>
  <sheetViews>
    <sheetView workbookViewId="0">
      <pane ySplit="2" topLeftCell="A15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1.33203125" customWidth="1" style="42" min="2" max="6"/>
    <col width="26.6640625" customWidth="1" style="42" min="7" max="7"/>
  </cols>
  <sheetData>
    <row r="1" ht="18" customHeight="1" s="42">
      <c r="A1" s="1" t="inlineStr">
        <is>
          <t>Waraqa — Detailed P&amp;L</t>
        </is>
      </c>
      <c r="B1" s="3" t="n"/>
      <c r="C1" s="3" t="n"/>
      <c r="D1" s="3" t="n"/>
      <c r="E1" s="3" t="n"/>
      <c r="F1" s="3" t="n"/>
      <c r="G1" s="3" t="n"/>
    </row>
    <row r="2">
      <c r="A2" s="6" t="inlineStr">
        <is>
          <t>($, USD)</t>
        </is>
      </c>
      <c r="B2" s="29" t="inlineStr">
        <is>
          <t>Year 1</t>
        </is>
      </c>
      <c r="C2" s="29" t="inlineStr">
        <is>
          <t>Year 2</t>
        </is>
      </c>
      <c r="D2" s="29" t="inlineStr">
        <is>
          <t>Year 3</t>
        </is>
      </c>
      <c r="E2" s="29" t="inlineStr">
        <is>
          <t>Year 4</t>
        </is>
      </c>
      <c r="F2" s="29" t="inlineStr">
        <is>
          <t>Year 5</t>
        </is>
      </c>
      <c r="G2" s="4" t="inlineStr">
        <is>
          <t>Notes</t>
        </is>
      </c>
    </row>
    <row r="3">
      <c r="A3" s="8" t="inlineStr">
        <is>
          <t>REVENUE</t>
        </is>
      </c>
      <c r="B3" s="9" t="n"/>
      <c r="C3" s="9" t="n"/>
      <c r="D3" s="9" t="n"/>
      <c r="E3" s="9" t="n"/>
      <c r="F3" s="9" t="n"/>
    </row>
    <row r="4">
      <c r="A4" s="10" t="inlineStr">
        <is>
          <t>Total Revenue</t>
        </is>
      </c>
      <c r="B4" s="11" t="n">
        <v>1200000</v>
      </c>
      <c r="C4" s="11" t="n">
        <v>3500000</v>
      </c>
      <c r="D4" s="11" t="n">
        <v>7500000</v>
      </c>
      <c r="E4" s="11" t="n">
        <v>14000000</v>
      </c>
      <c r="F4" s="11" t="n">
        <v>24000000</v>
      </c>
    </row>
    <row r="5">
      <c r="A5" s="12" t="inlineStr">
        <is>
          <t xml:space="preserve">  Journal Hosting &amp; Mgmt (35%)</t>
        </is>
      </c>
      <c r="B5" s="13">
        <f>B$4*0.35</f>
        <v/>
      </c>
      <c r="C5" s="13">
        <f>C$4*0.35</f>
        <v/>
      </c>
      <c r="D5" s="13">
        <f>D$4*0.35</f>
        <v/>
      </c>
      <c r="E5" s="13">
        <f>E$4*0.35</f>
        <v/>
      </c>
      <c r="F5" s="13">
        <f>F$4*0.35</f>
        <v/>
      </c>
    </row>
    <row r="6">
      <c r="A6" s="12" t="inlineStr">
        <is>
          <t xml:space="preserve">  Article Processing Charges (20%)</t>
        </is>
      </c>
      <c r="B6" s="13">
        <f>B$4*0.2</f>
        <v/>
      </c>
      <c r="C6" s="13">
        <f>C$4*0.2</f>
        <v/>
      </c>
      <c r="D6" s="13">
        <f>D$4*0.2</f>
        <v/>
      </c>
      <c r="E6" s="13">
        <f>E$4*0.2</f>
        <v/>
      </c>
      <c r="F6" s="13">
        <f>F$4*0.2</f>
        <v/>
      </c>
    </row>
    <row r="7">
      <c r="A7" s="12" t="inlineStr">
        <is>
          <t xml:space="preserve">  Evidence Synthesis Projects (20%)</t>
        </is>
      </c>
      <c r="B7" s="13">
        <f>B$4*0.2</f>
        <v/>
      </c>
      <c r="C7" s="13">
        <f>C$4*0.2</f>
        <v/>
      </c>
      <c r="D7" s="13">
        <f>D$4*0.2</f>
        <v/>
      </c>
      <c r="E7" s="13">
        <f>E$4*0.2</f>
        <v/>
      </c>
      <c r="F7" s="13">
        <f>F$4*0.2</f>
        <v/>
      </c>
    </row>
    <row r="8">
      <c r="A8" s="12" t="inlineStr">
        <is>
          <t xml:space="preserve">  Manuscript Services (10%)</t>
        </is>
      </c>
      <c r="B8" s="13">
        <f>B$4*0.1</f>
        <v/>
      </c>
      <c r="C8" s="13">
        <f>C$4*0.1</f>
        <v/>
      </c>
      <c r="D8" s="13">
        <f>D$4*0.1</f>
        <v/>
      </c>
      <c r="E8" s="13">
        <f>E$4*0.1</f>
        <v/>
      </c>
      <c r="F8" s="13">
        <f>F$4*0.1</f>
        <v/>
      </c>
    </row>
    <row r="9">
      <c r="A9" s="12" t="inlineStr">
        <is>
          <t xml:space="preserve">  Data Registry Subscriptions (10%)</t>
        </is>
      </c>
      <c r="B9" s="13">
        <f>B$4*0.1</f>
        <v/>
      </c>
      <c r="C9" s="13">
        <f>C$4*0.1</f>
        <v/>
      </c>
      <c r="D9" s="13">
        <f>D$4*0.1</f>
        <v/>
      </c>
      <c r="E9" s="13">
        <f>E$4*0.1</f>
        <v/>
      </c>
      <c r="F9" s="13">
        <f>F$4*0.1</f>
        <v/>
      </c>
    </row>
    <row r="10">
      <c r="A10" s="12" t="inlineStr">
        <is>
          <t xml:space="preserve">  Platform Licensing (5%)</t>
        </is>
      </c>
      <c r="B10" s="13">
        <f>B$4*0.05</f>
        <v/>
      </c>
      <c r="C10" s="13">
        <f>C$4*0.05</f>
        <v/>
      </c>
      <c r="D10" s="13">
        <f>D$4*0.05</f>
        <v/>
      </c>
      <c r="E10" s="13">
        <f>E$4*0.05</f>
        <v/>
      </c>
      <c r="F10" s="13">
        <f>F$4*0.05</f>
        <v/>
      </c>
    </row>
    <row r="11">
      <c r="A11" s="12" t="n"/>
      <c r="B11" s="12" t="n"/>
      <c r="C11" s="12" t="n"/>
      <c r="D11" s="12" t="n"/>
      <c r="E11" s="12" t="n"/>
      <c r="F11" s="12" t="n"/>
    </row>
    <row r="12">
      <c r="A12" s="8" t="inlineStr">
        <is>
          <t>COST OF REVENUE</t>
        </is>
      </c>
      <c r="B12" s="9" t="n"/>
      <c r="C12" s="9" t="n"/>
      <c r="D12" s="9" t="n"/>
      <c r="E12" s="9" t="n"/>
      <c r="F12" s="9" t="n"/>
    </row>
    <row r="13">
      <c r="A13" s="12" t="inlineStr">
        <is>
          <t>COGS (33% of Revenue)</t>
        </is>
      </c>
      <c r="B13" s="13">
        <f>B4*0.33</f>
        <v/>
      </c>
      <c r="C13" s="13">
        <f>C4*0.33</f>
        <v/>
      </c>
      <c r="D13" s="13">
        <f>D4*0.33</f>
        <v/>
      </c>
      <c r="E13" s="13">
        <f>E4*0.33</f>
        <v/>
      </c>
      <c r="F13" s="13">
        <f>F4*0.33</f>
        <v/>
      </c>
    </row>
    <row r="14" ht="14.65" customHeight="1" s="42" thickBot="1">
      <c r="A14" s="20" t="n"/>
      <c r="B14" s="20" t="n"/>
      <c r="C14" s="20" t="n"/>
      <c r="D14" s="20" t="n"/>
      <c r="E14" s="20" t="n"/>
      <c r="F14" s="20" t="n"/>
    </row>
    <row r="15">
      <c r="A15" s="23" t="inlineStr">
        <is>
          <t>Gross Profit</t>
        </is>
      </c>
      <c r="B15" s="24">
        <f>B4-B13</f>
        <v/>
      </c>
      <c r="C15" s="24">
        <f>C4-C13</f>
        <v/>
      </c>
      <c r="D15" s="24">
        <f>D4-D13</f>
        <v/>
      </c>
      <c r="E15" s="24">
        <f>E4-E13</f>
        <v/>
      </c>
      <c r="F15" s="24">
        <f>F4-F13</f>
        <v/>
      </c>
    </row>
    <row r="16">
      <c r="A16" s="27" t="inlineStr">
        <is>
          <t>Gross Margin %</t>
        </is>
      </c>
      <c r="B16" s="233">
        <f>IF(B4=0,0,B15/B4)</f>
        <v/>
      </c>
      <c r="C16" s="233">
        <f>IF(C4=0,0,C15/C4)</f>
        <v/>
      </c>
      <c r="D16" s="233">
        <f>IF(D4=0,0,D15/D4)</f>
        <v/>
      </c>
      <c r="E16" s="233">
        <f>IF(E4=0,0,E15/E4)</f>
        <v/>
      </c>
      <c r="F16" s="233">
        <f>IF(F4=0,0,F15/F4)</f>
        <v/>
      </c>
    </row>
    <row r="17">
      <c r="A17" s="12" t="n"/>
      <c r="B17" s="12" t="n"/>
      <c r="C17" s="12" t="n"/>
      <c r="D17" s="12" t="n"/>
      <c r="E17" s="12" t="n"/>
      <c r="F17" s="12" t="n"/>
    </row>
    <row r="18">
      <c r="A18" s="8" t="inlineStr">
        <is>
          <t>OPERATING EXPENSES</t>
        </is>
      </c>
      <c r="B18" s="9" t="n"/>
      <c r="C18" s="9" t="n"/>
      <c r="D18" s="9" t="n"/>
      <c r="E18" s="9" t="n"/>
      <c r="F18" s="9" t="n"/>
    </row>
    <row r="19">
      <c r="A19" s="12" t="inlineStr">
        <is>
          <t xml:space="preserve">  Technology (20%→10%)</t>
        </is>
      </c>
      <c r="B19" s="13">
        <f>B4*0.2</f>
        <v/>
      </c>
      <c r="C19" s="13">
        <f>C4*0.18</f>
        <v/>
      </c>
      <c r="D19" s="13">
        <f>D4*0.15</f>
        <v/>
      </c>
      <c r="E19" s="13">
        <f>E4*0.12</f>
        <v/>
      </c>
      <c r="F19" s="13">
        <f>F4*0.1</f>
        <v/>
      </c>
    </row>
    <row r="20">
      <c r="A20" s="12" t="inlineStr">
        <is>
          <t xml:space="preserve">  Content &amp; Editorial (15%→6%)</t>
        </is>
      </c>
      <c r="B20" s="13">
        <f>B4*0.15</f>
        <v/>
      </c>
      <c r="C20" s="13">
        <f>C4*0.13</f>
        <v/>
      </c>
      <c r="D20" s="13">
        <f>D4*0.1</f>
        <v/>
      </c>
      <c r="E20" s="13">
        <f>E4*0.08</f>
        <v/>
      </c>
      <c r="F20" s="13">
        <f>F4*0.06</f>
        <v/>
      </c>
    </row>
    <row r="21">
      <c r="A21" s="12" t="inlineStr">
        <is>
          <t xml:space="preserve">  Sales &amp; Marketing (12%→5%)</t>
        </is>
      </c>
      <c r="B21" s="13">
        <f>B4*0.12</f>
        <v/>
      </c>
      <c r="C21" s="13">
        <f>C4*0.1</f>
        <v/>
      </c>
      <c r="D21" s="13">
        <f>D4*0.08</f>
        <v/>
      </c>
      <c r="E21" s="13">
        <f>E4*0.06</f>
        <v/>
      </c>
      <c r="F21" s="13">
        <f>F4*0.05</f>
        <v/>
      </c>
    </row>
    <row r="22">
      <c r="A22" s="12" t="inlineStr">
        <is>
          <t xml:space="preserve">  G&amp;A (8%→3%)</t>
        </is>
      </c>
      <c r="B22" s="13">
        <f>B4*0.08</f>
        <v/>
      </c>
      <c r="C22" s="13">
        <f>C4*0.06</f>
        <v/>
      </c>
      <c r="D22" s="13">
        <f>D4*0.05</f>
        <v/>
      </c>
      <c r="E22" s="13">
        <f>E4*0.04</f>
        <v/>
      </c>
      <c r="F22" s="13">
        <f>F4*0.03</f>
        <v/>
      </c>
    </row>
    <row r="23" ht="14.65" customHeight="1" s="42" thickBot="1">
      <c r="A23" s="20" t="n"/>
      <c r="B23" s="20" t="n"/>
      <c r="C23" s="20" t="n"/>
      <c r="D23" s="20" t="n"/>
      <c r="E23" s="20" t="n"/>
      <c r="F23" s="20" t="n"/>
    </row>
    <row r="24">
      <c r="A24" s="23" t="inlineStr">
        <is>
          <t>Total Operating Expenses</t>
        </is>
      </c>
      <c r="B24" s="24">
        <f>SUM(B19:B22)</f>
        <v/>
      </c>
      <c r="C24" s="24">
        <f>SUM(C19:C22)</f>
        <v/>
      </c>
      <c r="D24" s="24">
        <f>SUM(D19:D22)</f>
        <v/>
      </c>
      <c r="E24" s="24">
        <f>SUM(E19:E22)</f>
        <v/>
      </c>
      <c r="F24" s="24">
        <f>SUM(F19:F22)</f>
        <v/>
      </c>
    </row>
    <row r="25">
      <c r="A25" s="22" t="n"/>
      <c r="B25" s="22" t="n"/>
      <c r="C25" s="22" t="n"/>
      <c r="D25" s="22" t="n"/>
      <c r="E25" s="22" t="n"/>
      <c r="F25" s="22" t="n"/>
    </row>
    <row r="26" ht="14.65" customHeight="1" s="42" thickBot="1">
      <c r="A26" s="25" t="inlineStr">
        <is>
          <t>EBITDA</t>
        </is>
      </c>
      <c r="B26" s="26" t="n"/>
      <c r="C26" s="26" t="n"/>
      <c r="D26" s="26" t="n"/>
      <c r="E26" s="26" t="n"/>
      <c r="F26" s="26" t="n"/>
    </row>
    <row r="27">
      <c r="A27" s="23" t="inlineStr">
        <is>
          <t>EBITDA</t>
        </is>
      </c>
      <c r="B27" s="24">
        <f>B15-B24</f>
        <v/>
      </c>
      <c r="C27" s="24">
        <f>C15-C24</f>
        <v/>
      </c>
      <c r="D27" s="24">
        <f>D15-D24</f>
        <v/>
      </c>
      <c r="E27" s="24">
        <f>E15-E24</f>
        <v/>
      </c>
      <c r="F27" s="24">
        <f>F15-F24</f>
        <v/>
      </c>
    </row>
    <row r="28">
      <c r="A28" s="27" t="inlineStr">
        <is>
          <t>EBITDA Margin %</t>
        </is>
      </c>
      <c r="B28" s="233">
        <f>IF(B4=0,0,B27/B4)</f>
        <v/>
      </c>
      <c r="C28" s="233">
        <f>IF(C4=0,0,C27/C4)</f>
        <v/>
      </c>
      <c r="D28" s="233">
        <f>IF(D4=0,0,D27/D4)</f>
        <v/>
      </c>
      <c r="E28" s="233">
        <f>IF(E4=0,0,E27/E4)</f>
        <v/>
      </c>
      <c r="F28" s="233">
        <f>IF(F4=0,0,F27/F4)</f>
        <v/>
      </c>
    </row>
    <row r="29">
      <c r="A29" s="12" t="n"/>
      <c r="B29" s="12" t="n"/>
      <c r="C29" s="12" t="n"/>
      <c r="D29" s="12" t="n"/>
      <c r="E29" s="12" t="n"/>
      <c r="F29" s="12" t="n"/>
    </row>
    <row r="30">
      <c r="A30" s="8" t="inlineStr">
        <is>
          <t>KEY METRICS</t>
        </is>
      </c>
      <c r="B30" s="9" t="n"/>
      <c r="C30" s="9" t="n"/>
      <c r="D30" s="9" t="n"/>
      <c r="E30" s="9" t="n"/>
      <c r="F30" s="9" t="n"/>
    </row>
    <row r="31">
      <c r="A31" s="12" t="inlineStr">
        <is>
          <t>Headcount</t>
        </is>
      </c>
      <c r="B31" s="18" t="n">
        <v>8</v>
      </c>
      <c r="C31" s="18" t="n">
        <v>15</v>
      </c>
      <c r="D31" s="18" t="n">
        <v>22</v>
      </c>
      <c r="E31" s="18" t="n">
        <v>30</v>
      </c>
      <c r="F31" s="18" t="n">
        <v>40</v>
      </c>
    </row>
    <row r="32">
      <c r="A32" s="12" t="n"/>
      <c r="B32" s="12" t="n"/>
      <c r="C32" s="12" t="n"/>
      <c r="D32" s="12" t="n"/>
      <c r="E32" s="12" t="n"/>
      <c r="F32" s="12" t="n"/>
    </row>
    <row r="33">
      <c r="A33" s="8" t="inlineStr">
        <is>
          <t>INVESTMENT</t>
        </is>
      </c>
      <c r="B33" s="9" t="n"/>
      <c r="C33" s="9" t="n"/>
      <c r="D33" s="9" t="n"/>
      <c r="E33" s="9" t="n"/>
      <c r="F33" s="9" t="n"/>
    </row>
    <row r="34">
      <c r="A34" s="12" t="inlineStr">
        <is>
          <t>MVP Capital (Y1)</t>
        </is>
      </c>
      <c r="B34" s="11" t="n">
        <v>1000000</v>
      </c>
      <c r="C34" s="12" t="n"/>
      <c r="D34" s="12" t="n"/>
      <c r="E34" s="12" t="n"/>
      <c r="F34" s="12" t="n"/>
    </row>
    <row r="35">
      <c r="A35" s="12" t="inlineStr">
        <is>
          <t>Scaling Capital (Y2)</t>
        </is>
      </c>
      <c r="B35" s="11" t="n">
        <v>1500000</v>
      </c>
      <c r="C35" s="12" t="n"/>
      <c r="D35" s="12" t="n"/>
      <c r="E35" s="12" t="n"/>
      <c r="F35" s="12" t="n"/>
    </row>
    <row r="36">
      <c r="A36" s="8" t="inlineStr">
        <is>
          <t>Total Investment</t>
        </is>
      </c>
      <c r="B36" s="162">
        <f>B34+B35</f>
        <v/>
      </c>
      <c r="C36" s="9" t="n"/>
      <c r="D36" s="9" t="n"/>
      <c r="E36" s="9" t="n"/>
      <c r="F36" s="9" t="n"/>
    </row>
    <row r="37">
      <c r="A37" s="12" t="inlineStr">
        <is>
          <t>TAM</t>
        </is>
      </c>
      <c r="B37" s="14" t="inlineStr">
        <is>
          <t>$1,264M</t>
        </is>
      </c>
      <c r="C37" s="12" t="n"/>
      <c r="D37" s="12" t="n"/>
      <c r="E37" s="12" t="n"/>
      <c r="F37" s="12" t="n"/>
    </row>
    <row r="38">
      <c r="A38" s="12" t="inlineStr">
        <is>
          <t>SAM</t>
        </is>
      </c>
      <c r="B38" s="14" t="inlineStr">
        <is>
          <t>$18.3M</t>
        </is>
      </c>
      <c r="C38" s="12" t="n"/>
      <c r="D38" s="12" t="n"/>
      <c r="E38" s="12" t="n"/>
      <c r="F38" s="12" t="n"/>
    </row>
    <row r="39">
      <c r="A39" s="20" t="inlineStr">
        <is>
          <t>SOM</t>
        </is>
      </c>
      <c r="B39" s="30" t="inlineStr">
        <is>
          <t>$4.6-6.6M</t>
        </is>
      </c>
      <c r="C39" s="20" t="n"/>
      <c r="D39" s="20" t="n"/>
      <c r="E39" s="20" t="n"/>
      <c r="F39" s="20" t="n"/>
    </row>
  </sheetData>
  <conditionalFormatting sqref="B27:F27">
    <cfRule type="expression" priority="1"/>
    <cfRule type="expression" priority="2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8E44AD"/>
    <outlinePr summaryBelow="1" summaryRight="1"/>
    <pageSetUpPr/>
  </sheetPr>
  <dimension ref="A1:G37"/>
  <sheetViews>
    <sheetView workbookViewId="0">
      <pane ySplit="2" topLeftCell="A15" activePane="bottomLeft" state="frozen"/>
      <selection pane="bottomLeft" activeCell="A1" sqref="A1"/>
    </sheetView>
  </sheetViews>
  <sheetFormatPr baseColWidth="8" defaultRowHeight="14.25"/>
  <cols>
    <col width="42.6640625" customWidth="1" style="42" min="1" max="1"/>
    <col width="21.33203125" customWidth="1" style="42" min="2" max="6"/>
    <col width="26.6640625" customWidth="1" style="42" min="7" max="7"/>
  </cols>
  <sheetData>
    <row r="1" ht="18" customHeight="1" s="42">
      <c r="A1" s="1" t="inlineStr">
        <is>
          <t>NAMA Knowledge — Detailed P&amp;L</t>
        </is>
      </c>
      <c r="B1" s="3" t="n"/>
      <c r="C1" s="3" t="n"/>
      <c r="D1" s="3" t="n"/>
      <c r="E1" s="3" t="n"/>
      <c r="F1" s="3" t="n"/>
      <c r="G1" s="3" t="n"/>
    </row>
    <row r="2">
      <c r="A2" s="6" t="inlineStr">
        <is>
          <t>($, USD)</t>
        </is>
      </c>
      <c r="B2" s="29" t="inlineStr">
        <is>
          <t>Year 1</t>
        </is>
      </c>
      <c r="C2" s="29" t="inlineStr">
        <is>
          <t>Year 2</t>
        </is>
      </c>
      <c r="D2" s="29" t="inlineStr">
        <is>
          <t>Year 3</t>
        </is>
      </c>
      <c r="E2" s="29" t="inlineStr">
        <is>
          <t>Year 4</t>
        </is>
      </c>
      <c r="F2" s="29" t="inlineStr">
        <is>
          <t>Year 5</t>
        </is>
      </c>
      <c r="G2" s="4" t="inlineStr">
        <is>
          <t>Notes</t>
        </is>
      </c>
    </row>
    <row r="3">
      <c r="A3" s="8" t="inlineStr">
        <is>
          <t>REVENUE</t>
        </is>
      </c>
      <c r="B3" s="9" t="n"/>
      <c r="C3" s="9" t="n"/>
      <c r="D3" s="9" t="n"/>
      <c r="E3" s="9" t="n"/>
      <c r="F3" s="9" t="n"/>
    </row>
    <row r="4">
      <c r="A4" s="10" t="inlineStr">
        <is>
          <t>Total Revenue</t>
        </is>
      </c>
      <c r="B4" s="11" t="n">
        <v>1500000</v>
      </c>
      <c r="C4" s="11" t="n">
        <v>4000000</v>
      </c>
      <c r="D4" s="11" t="n">
        <v>9000000</v>
      </c>
      <c r="E4" s="11" t="n">
        <v>17000000</v>
      </c>
      <c r="F4" s="11" t="n">
        <v>28000000</v>
      </c>
    </row>
    <row r="5">
      <c r="A5" s="12" t="inlineStr">
        <is>
          <t xml:space="preserve">  Institutional LMS Licenses (30%)</t>
        </is>
      </c>
      <c r="B5" s="13">
        <f>B$4*0.3</f>
        <v/>
      </c>
      <c r="C5" s="13">
        <f>C$4*0.3</f>
        <v/>
      </c>
      <c r="D5" s="13">
        <f>D$4*0.3</f>
        <v/>
      </c>
      <c r="E5" s="13">
        <f>E$4*0.3</f>
        <v/>
      </c>
      <c r="F5" s="13">
        <f>F$4*0.3</f>
        <v/>
      </c>
    </row>
    <row r="6">
      <c r="A6" s="12" t="inlineStr">
        <is>
          <t xml:space="preserve">  Individual CME Subscriptions (15%)</t>
        </is>
      </c>
      <c r="B6" s="13">
        <f>B$4*0.15</f>
        <v/>
      </c>
      <c r="C6" s="13">
        <f>C$4*0.15</f>
        <v/>
      </c>
      <c r="D6" s="13">
        <f>D$4*0.15</f>
        <v/>
      </c>
      <c r="E6" s="13">
        <f>E$4*0.15</f>
        <v/>
      </c>
      <c r="F6" s="13">
        <f>F$4*0.15</f>
        <v/>
      </c>
    </row>
    <row r="7">
      <c r="A7" s="12" t="inlineStr">
        <is>
          <t xml:space="preserve">  Simulation Training (20%)</t>
        </is>
      </c>
      <c r="B7" s="13">
        <f>B$4*0.2</f>
        <v/>
      </c>
      <c r="C7" s="13">
        <f>C$4*0.2</f>
        <v/>
      </c>
      <c r="D7" s="13">
        <f>D$4*0.2</f>
        <v/>
      </c>
      <c r="E7" s="13">
        <f>E$4*0.2</f>
        <v/>
      </c>
      <c r="F7" s="13">
        <f>F$4*0.2</f>
        <v/>
      </c>
    </row>
    <row r="8">
      <c r="A8" s="12" t="inlineStr">
        <is>
          <t xml:space="preserve">  Pharma-Sponsored Education (20%)</t>
        </is>
      </c>
      <c r="B8" s="13">
        <f>B$4*0.2</f>
        <v/>
      </c>
      <c r="C8" s="13">
        <f>C$4*0.2</f>
        <v/>
      </c>
      <c r="D8" s="13">
        <f>D$4*0.2</f>
        <v/>
      </c>
      <c r="E8" s="13">
        <f>E$4*0.2</f>
        <v/>
      </c>
      <c r="F8" s="13">
        <f>F$4*0.2</f>
        <v/>
      </c>
    </row>
    <row r="9">
      <c r="A9" s="12" t="inlineStr">
        <is>
          <t xml:space="preserve">  Conference Management (10%)</t>
        </is>
      </c>
      <c r="B9" s="13">
        <f>B$4*0.1</f>
        <v/>
      </c>
      <c r="C9" s="13">
        <f>C$4*0.1</f>
        <v/>
      </c>
      <c r="D9" s="13">
        <f>D$4*0.1</f>
        <v/>
      </c>
      <c r="E9" s="13">
        <f>E$4*0.1</f>
        <v/>
      </c>
      <c r="F9" s="13">
        <f>F$4*0.1</f>
        <v/>
      </c>
    </row>
    <row r="10">
      <c r="A10" s="12" t="inlineStr">
        <is>
          <t xml:space="preserve">  Certification Fees (5%)</t>
        </is>
      </c>
      <c r="B10" s="13">
        <f>B$4*0.05</f>
        <v/>
      </c>
      <c r="C10" s="13">
        <f>C$4*0.05</f>
        <v/>
      </c>
      <c r="D10" s="13">
        <f>D$4*0.05</f>
        <v/>
      </c>
      <c r="E10" s="13">
        <f>E$4*0.05</f>
        <v/>
      </c>
      <c r="F10" s="13">
        <f>F$4*0.05</f>
        <v/>
      </c>
    </row>
    <row r="11">
      <c r="A11" s="12" t="n"/>
      <c r="B11" s="12" t="n"/>
      <c r="C11" s="12" t="n"/>
      <c r="D11" s="12" t="n"/>
      <c r="E11" s="12" t="n"/>
      <c r="F11" s="12" t="n"/>
    </row>
    <row r="12">
      <c r="A12" s="8" t="inlineStr">
        <is>
          <t>COST OF REVENUE</t>
        </is>
      </c>
      <c r="B12" s="9" t="n"/>
      <c r="C12" s="9" t="n"/>
      <c r="D12" s="9" t="n"/>
      <c r="E12" s="9" t="n"/>
      <c r="F12" s="9" t="n"/>
    </row>
    <row r="13">
      <c r="A13" s="12" t="inlineStr">
        <is>
          <t>COGS (28% of Revenue)</t>
        </is>
      </c>
      <c r="B13" s="13">
        <f>B4*0.28</f>
        <v/>
      </c>
      <c r="C13" s="13">
        <f>C4*0.28</f>
        <v/>
      </c>
      <c r="D13" s="13">
        <f>D4*0.28</f>
        <v/>
      </c>
      <c r="E13" s="13">
        <f>E4*0.28</f>
        <v/>
      </c>
      <c r="F13" s="13">
        <f>F4*0.28</f>
        <v/>
      </c>
    </row>
    <row r="14" ht="14.65" customHeight="1" s="42" thickBot="1">
      <c r="A14" s="20" t="n"/>
      <c r="B14" s="20" t="n"/>
      <c r="C14" s="20" t="n"/>
      <c r="D14" s="20" t="n"/>
      <c r="E14" s="20" t="n"/>
      <c r="F14" s="20" t="n"/>
    </row>
    <row r="15">
      <c r="A15" s="23" t="inlineStr">
        <is>
          <t>Gross Profit</t>
        </is>
      </c>
      <c r="B15" s="24">
        <f>B4-B13</f>
        <v/>
      </c>
      <c r="C15" s="24">
        <f>C4-C13</f>
        <v/>
      </c>
      <c r="D15" s="24">
        <f>D4-D13</f>
        <v/>
      </c>
      <c r="E15" s="24">
        <f>E4-E13</f>
        <v/>
      </c>
      <c r="F15" s="24">
        <f>F4-F13</f>
        <v/>
      </c>
    </row>
    <row r="16">
      <c r="A16" s="27" t="inlineStr">
        <is>
          <t>Gross Margin %</t>
        </is>
      </c>
      <c r="B16" s="233">
        <f>IF(B4=0,0,B15/B4)</f>
        <v/>
      </c>
      <c r="C16" s="233">
        <f>IF(C4=0,0,C15/C4)</f>
        <v/>
      </c>
      <c r="D16" s="233">
        <f>IF(D4=0,0,D15/D4)</f>
        <v/>
      </c>
      <c r="E16" s="233">
        <f>IF(E4=0,0,E15/E4)</f>
        <v/>
      </c>
      <c r="F16" s="233">
        <f>IF(F4=0,0,F15/F4)</f>
        <v/>
      </c>
    </row>
    <row r="17">
      <c r="A17" s="12" t="n"/>
      <c r="B17" s="12" t="n"/>
      <c r="C17" s="12" t="n"/>
      <c r="D17" s="12" t="n"/>
      <c r="E17" s="12" t="n"/>
      <c r="F17" s="12" t="n"/>
    </row>
    <row r="18">
      <c r="A18" s="8" t="inlineStr">
        <is>
          <t>OPERATING EXPENSES</t>
        </is>
      </c>
      <c r="B18" s="9" t="n"/>
      <c r="C18" s="9" t="n"/>
      <c r="D18" s="9" t="n"/>
      <c r="E18" s="9" t="n"/>
      <c r="F18" s="9" t="n"/>
    </row>
    <row r="19">
      <c r="A19" s="12" t="inlineStr">
        <is>
          <t xml:space="preserve">  Content Development (18%→8%)</t>
        </is>
      </c>
      <c r="B19" s="13">
        <f>B4*0.18</f>
        <v/>
      </c>
      <c r="C19" s="13">
        <f>C4*0.15</f>
        <v/>
      </c>
      <c r="D19" s="13">
        <f>D4*0.12</f>
        <v/>
      </c>
      <c r="E19" s="13">
        <f>E4*0.1</f>
        <v/>
      </c>
      <c r="F19" s="13">
        <f>F4*0.08</f>
        <v/>
      </c>
    </row>
    <row r="20">
      <c r="A20" s="12" t="inlineStr">
        <is>
          <t xml:space="preserve">  Technology (15%→7%)</t>
        </is>
      </c>
      <c r="B20" s="13">
        <f>B4*0.15</f>
        <v/>
      </c>
      <c r="C20" s="13">
        <f>C4*0.13</f>
        <v/>
      </c>
      <c r="D20" s="13">
        <f>D4*0.1</f>
        <v/>
      </c>
      <c r="E20" s="13">
        <f>E4*0.08</f>
        <v/>
      </c>
      <c r="F20" s="13">
        <f>F4*0.07</f>
        <v/>
      </c>
    </row>
    <row r="21">
      <c r="A21" s="12" t="inlineStr">
        <is>
          <t xml:space="preserve">  Operations (12%→5%)</t>
        </is>
      </c>
      <c r="B21" s="13">
        <f>B4*0.12</f>
        <v/>
      </c>
      <c r="C21" s="13">
        <f>C4*0.1</f>
        <v/>
      </c>
      <c r="D21" s="13">
        <f>D4*0.08</f>
        <v/>
      </c>
      <c r="E21" s="13">
        <f>E4*0.06</f>
        <v/>
      </c>
      <c r="F21" s="13">
        <f>F4*0.05</f>
        <v/>
      </c>
    </row>
    <row r="22">
      <c r="A22" s="12" t="inlineStr">
        <is>
          <t xml:space="preserve">  Sales &amp; Marketing (10%→4%)</t>
        </is>
      </c>
      <c r="B22" s="13">
        <f>B4*0.1</f>
        <v/>
      </c>
      <c r="C22" s="13">
        <f>C4*0.08</f>
        <v/>
      </c>
      <c r="D22" s="13">
        <f>D4*0.07</f>
        <v/>
      </c>
      <c r="E22" s="13">
        <f>E4*0.05</f>
        <v/>
      </c>
      <c r="F22" s="13">
        <f>F4*0.04</f>
        <v/>
      </c>
    </row>
    <row r="23">
      <c r="A23" s="12" t="inlineStr">
        <is>
          <t xml:space="preserve">  G&amp;A (5%→2%)</t>
        </is>
      </c>
      <c r="B23" s="13">
        <f>B4*0.05</f>
        <v/>
      </c>
      <c r="C23" s="13">
        <f>C4*0.04</f>
        <v/>
      </c>
      <c r="D23" s="13">
        <f>D4*0.03</f>
        <v/>
      </c>
      <c r="E23" s="13">
        <f>E4*0.03</f>
        <v/>
      </c>
      <c r="F23" s="13">
        <f>F4*0.02</f>
        <v/>
      </c>
    </row>
    <row r="24" ht="14.65" customHeight="1" s="42" thickBot="1">
      <c r="A24" s="20" t="n"/>
      <c r="B24" s="20" t="n"/>
      <c r="C24" s="20" t="n"/>
      <c r="D24" s="20" t="n"/>
      <c r="E24" s="20" t="n"/>
      <c r="F24" s="20" t="n"/>
    </row>
    <row r="25">
      <c r="A25" s="23" t="inlineStr">
        <is>
          <t>Total Operating Expenses</t>
        </is>
      </c>
      <c r="B25" s="24">
        <f>SUM(B19:B23)</f>
        <v/>
      </c>
      <c r="C25" s="24">
        <f>SUM(C19:C23)</f>
        <v/>
      </c>
      <c r="D25" s="24">
        <f>SUM(D19:D23)</f>
        <v/>
      </c>
      <c r="E25" s="24">
        <f>SUM(E19:E23)</f>
        <v/>
      </c>
      <c r="F25" s="24">
        <f>SUM(F19:F23)</f>
        <v/>
      </c>
    </row>
    <row r="26">
      <c r="A26" s="22" t="n"/>
      <c r="B26" s="22" t="n"/>
      <c r="C26" s="22" t="n"/>
      <c r="D26" s="22" t="n"/>
      <c r="E26" s="22" t="n"/>
      <c r="F26" s="22" t="n"/>
    </row>
    <row r="27" ht="14.65" customHeight="1" s="42" thickBot="1">
      <c r="A27" s="25" t="inlineStr">
        <is>
          <t>EBITDA</t>
        </is>
      </c>
      <c r="B27" s="26" t="n"/>
      <c r="C27" s="26" t="n"/>
      <c r="D27" s="26" t="n"/>
      <c r="E27" s="26" t="n"/>
      <c r="F27" s="26" t="n"/>
    </row>
    <row r="28">
      <c r="A28" s="23" t="inlineStr">
        <is>
          <t>EBITDA</t>
        </is>
      </c>
      <c r="B28" s="24">
        <f>B15-B25</f>
        <v/>
      </c>
      <c r="C28" s="24">
        <f>C15-C25</f>
        <v/>
      </c>
      <c r="D28" s="24">
        <f>D15-D25</f>
        <v/>
      </c>
      <c r="E28" s="24">
        <f>E15-E25</f>
        <v/>
      </c>
      <c r="F28" s="24">
        <f>F15-F25</f>
        <v/>
      </c>
    </row>
    <row r="29">
      <c r="A29" s="27" t="inlineStr">
        <is>
          <t>EBITDA Margin %</t>
        </is>
      </c>
      <c r="B29" s="233">
        <f>IF(B4=0,0,B28/B4)</f>
        <v/>
      </c>
      <c r="C29" s="233">
        <f>IF(C4=0,0,C28/C4)</f>
        <v/>
      </c>
      <c r="D29" s="233">
        <f>IF(D4=0,0,D28/D4)</f>
        <v/>
      </c>
      <c r="E29" s="233">
        <f>IF(E4=0,0,E28/E4)</f>
        <v/>
      </c>
      <c r="F29" s="233">
        <f>IF(F4=0,0,F28/F4)</f>
        <v/>
      </c>
    </row>
    <row r="30">
      <c r="A30" s="12" t="n"/>
      <c r="B30" s="12" t="n"/>
      <c r="C30" s="12" t="n"/>
      <c r="D30" s="12" t="n"/>
      <c r="E30" s="12" t="n"/>
      <c r="F30" s="12" t="n"/>
    </row>
    <row r="31">
      <c r="A31" s="8" t="inlineStr">
        <is>
          <t>KEY METRICS</t>
        </is>
      </c>
      <c r="B31" s="9" t="n"/>
      <c r="C31" s="9" t="n"/>
      <c r="D31" s="9" t="n"/>
      <c r="E31" s="9" t="n"/>
      <c r="F31" s="9" t="n"/>
    </row>
    <row r="32">
      <c r="A32" s="12" t="inlineStr">
        <is>
          <t>Headcount</t>
        </is>
      </c>
      <c r="B32" s="18" t="n">
        <v>10</v>
      </c>
      <c r="C32" s="18" t="n">
        <v>18</v>
      </c>
      <c r="D32" s="18" t="n">
        <v>30</v>
      </c>
      <c r="E32" s="18" t="n">
        <v>45</v>
      </c>
      <c r="F32" s="18" t="n">
        <v>60</v>
      </c>
    </row>
    <row r="33">
      <c r="A33" s="12" t="n"/>
      <c r="B33" s="12" t="n"/>
      <c r="C33" s="12" t="n"/>
      <c r="D33" s="12" t="n"/>
      <c r="E33" s="12" t="n"/>
      <c r="F33" s="12" t="n"/>
    </row>
    <row r="34">
      <c r="A34" s="8" t="inlineStr">
        <is>
          <t>INVESTMENT</t>
        </is>
      </c>
      <c r="B34" s="9" t="n"/>
      <c r="C34" s="9" t="n"/>
      <c r="D34" s="9" t="n"/>
      <c r="E34" s="9" t="n"/>
      <c r="F34" s="9" t="n"/>
    </row>
    <row r="35">
      <c r="A35" s="12" t="inlineStr">
        <is>
          <t>Seed / Pre-Series A</t>
        </is>
      </c>
      <c r="B35" s="11" t="n">
        <v>1000000</v>
      </c>
      <c r="C35" s="12" t="n"/>
      <c r="D35" s="12" t="n"/>
      <c r="E35" s="12" t="n"/>
      <c r="F35" s="12" t="n"/>
    </row>
    <row r="36">
      <c r="A36" s="12" t="inlineStr">
        <is>
          <t>Series B</t>
        </is>
      </c>
      <c r="B36" s="235" t="n">
        <v>0</v>
      </c>
      <c r="C36" s="12" t="n"/>
      <c r="D36" s="12" t="n"/>
      <c r="E36" s="12" t="n"/>
      <c r="F36" s="12" t="n"/>
    </row>
    <row r="37">
      <c r="A37" s="97" t="inlineStr">
        <is>
          <t>Total Investment</t>
        </is>
      </c>
      <c r="B37" s="31">
        <f>B35+B36</f>
        <v/>
      </c>
      <c r="C37" s="20" t="n"/>
      <c r="D37" s="20" t="n"/>
      <c r="E37" s="20" t="n"/>
      <c r="F37" s="20" t="n"/>
    </row>
  </sheetData>
  <conditionalFormatting sqref="B28:F28">
    <cfRule type="expression" priority="1"/>
    <cfRule type="expression" priority="2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E67E22"/>
    <outlinePr summaryBelow="1" summaryRight="1"/>
    <pageSetUpPr/>
  </sheetPr>
  <dimension ref="A1:H34"/>
  <sheetViews>
    <sheetView workbookViewId="0">
      <pane ySplit="2" topLeftCell="A10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1.33203125" customWidth="1" style="42" min="2" max="7"/>
    <col width="26.6640625" customWidth="1" style="42" min="8" max="8"/>
  </cols>
  <sheetData>
    <row r="1" ht="18" customHeight="1" s="42">
      <c r="A1" s="1" t="inlineStr">
        <is>
          <t>NAMA BIO — Detailed P&amp;L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6" t="inlineStr">
        <is>
          <t>($, USD)</t>
        </is>
      </c>
      <c r="B2" s="7" t="n">
        <v>2026</v>
      </c>
      <c r="C2" s="7" t="n">
        <v>2027</v>
      </c>
      <c r="D2" s="7" t="n">
        <v>2028</v>
      </c>
      <c r="E2" s="7" t="n">
        <v>2029</v>
      </c>
      <c r="F2" s="7" t="n">
        <v>2030</v>
      </c>
      <c r="G2" s="7" t="n">
        <v>2031</v>
      </c>
      <c r="H2" s="4" t="inlineStr">
        <is>
          <t>Notes</t>
        </is>
      </c>
    </row>
    <row r="3">
      <c r="A3" s="8" t="inlineStr">
        <is>
          <t>REVENUE</t>
        </is>
      </c>
      <c r="B3" s="9" t="n"/>
      <c r="C3" s="9" t="n"/>
      <c r="D3" s="9" t="n"/>
      <c r="E3" s="9" t="n"/>
      <c r="F3" s="9" t="n"/>
      <c r="G3" s="9" t="n"/>
    </row>
    <row r="4">
      <c r="A4" s="10" t="inlineStr">
        <is>
          <t>Total Revenue</t>
        </is>
      </c>
      <c r="B4" s="11" t="n">
        <v>2733333</v>
      </c>
      <c r="C4" s="11" t="n">
        <v>4466667</v>
      </c>
      <c r="D4" s="11" t="n">
        <v>6866667</v>
      </c>
      <c r="E4" s="11" t="n">
        <v>9733333</v>
      </c>
      <c r="F4" s="11" t="n">
        <v>12933333</v>
      </c>
      <c r="G4" s="11" t="n">
        <v>15746667</v>
      </c>
    </row>
    <row r="5">
      <c r="A5" s="12" t="inlineStr">
        <is>
          <t xml:space="preserve">  BE Studies (60%)</t>
        </is>
      </c>
      <c r="B5" s="13">
        <f>B$4*0.6</f>
        <v/>
      </c>
      <c r="C5" s="13">
        <f>C$4*0.6</f>
        <v/>
      </c>
      <c r="D5" s="13">
        <f>D$4*0.6</f>
        <v/>
      </c>
      <c r="E5" s="13">
        <f>E$4*0.6</f>
        <v/>
      </c>
      <c r="F5" s="13">
        <f>F$4*0.6</f>
        <v/>
      </c>
      <c r="G5" s="13">
        <f>G$4*0.6</f>
        <v/>
      </c>
    </row>
    <row r="6">
      <c r="A6" s="12" t="inlineStr">
        <is>
          <t xml:space="preserve">  Bioanalytical (20%)</t>
        </is>
      </c>
      <c r="B6" s="13">
        <f>B$4*0.2</f>
        <v/>
      </c>
      <c r="C6" s="13">
        <f>C$4*0.2</f>
        <v/>
      </c>
      <c r="D6" s="13">
        <f>D$4*0.2</f>
        <v/>
      </c>
      <c r="E6" s="13">
        <f>E$4*0.2</f>
        <v/>
      </c>
      <c r="F6" s="13">
        <f>F$4*0.2</f>
        <v/>
      </c>
      <c r="G6" s="13">
        <f>G$4*0.2</f>
        <v/>
      </c>
    </row>
    <row r="7">
      <c r="A7" s="12" t="inlineStr">
        <is>
          <t xml:space="preserve">  Regulatory (10%)</t>
        </is>
      </c>
      <c r="B7" s="13">
        <f>B$4*0.1</f>
        <v/>
      </c>
      <c r="C7" s="13">
        <f>C$4*0.1</f>
        <v/>
      </c>
      <c r="D7" s="13">
        <f>D$4*0.1</f>
        <v/>
      </c>
      <c r="E7" s="13">
        <f>E$4*0.1</f>
        <v/>
      </c>
      <c r="F7" s="13">
        <f>F$4*0.1</f>
        <v/>
      </c>
      <c r="G7" s="13">
        <f>G$4*0.1</f>
        <v/>
      </c>
    </row>
    <row r="8">
      <c r="A8" s="12" t="inlineStr">
        <is>
          <t xml:space="preserve">  Training (5%)</t>
        </is>
      </c>
      <c r="B8" s="13">
        <f>B$4*0.05</f>
        <v/>
      </c>
      <c r="C8" s="13">
        <f>C$4*0.05</f>
        <v/>
      </c>
      <c r="D8" s="13">
        <f>D$4*0.05</f>
        <v/>
      </c>
      <c r="E8" s="13">
        <f>E$4*0.05</f>
        <v/>
      </c>
      <c r="F8" s="13">
        <f>F$4*0.05</f>
        <v/>
      </c>
      <c r="G8" s="13">
        <f>G$4*0.05</f>
        <v/>
      </c>
    </row>
    <row r="9">
      <c r="A9" s="12" t="inlineStr">
        <is>
          <t xml:space="preserve">  Stability (5%)</t>
        </is>
      </c>
      <c r="B9" s="13">
        <f>B$4*0.05</f>
        <v/>
      </c>
      <c r="C9" s="13">
        <f>C$4*0.05</f>
        <v/>
      </c>
      <c r="D9" s="13">
        <f>D$4*0.05</f>
        <v/>
      </c>
      <c r="E9" s="13">
        <f>E$4*0.05</f>
        <v/>
      </c>
      <c r="F9" s="13">
        <f>F$4*0.05</f>
        <v/>
      </c>
      <c r="G9" s="13">
        <f>G$4*0.05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8" t="inlineStr">
        <is>
          <t>COST OF REVENUE</t>
        </is>
      </c>
      <c r="B11" s="9" t="n"/>
      <c r="C11" s="9" t="n"/>
      <c r="D11" s="9" t="n"/>
      <c r="E11" s="9" t="n"/>
      <c r="F11" s="9" t="n"/>
      <c r="G11" s="9" t="n"/>
    </row>
    <row r="12">
      <c r="A12" s="12" t="inlineStr">
        <is>
          <t>COGS</t>
        </is>
      </c>
      <c r="B12" s="13" t="n">
        <v>1106667</v>
      </c>
      <c r="C12" s="13" t="n">
        <v>1466667</v>
      </c>
      <c r="D12" s="13" t="n">
        <v>2106667</v>
      </c>
      <c r="E12" s="13" t="n">
        <v>2786667</v>
      </c>
      <c r="F12" s="13" t="n">
        <v>3786667</v>
      </c>
      <c r="G12" s="13" t="n">
        <v>5493333</v>
      </c>
    </row>
    <row r="13" ht="14.65" customHeight="1" s="42" thickBot="1">
      <c r="A13" s="20" t="n"/>
      <c r="B13" s="20" t="n"/>
      <c r="C13" s="20" t="n"/>
      <c r="D13" s="20" t="n"/>
      <c r="E13" s="20" t="n"/>
      <c r="F13" s="20" t="n"/>
      <c r="G13" s="20" t="n"/>
    </row>
    <row r="14">
      <c r="A14" s="23" t="inlineStr">
        <is>
          <t>Gross Profit</t>
        </is>
      </c>
      <c r="B14" s="24">
        <f>B4-B12</f>
        <v/>
      </c>
      <c r="C14" s="24">
        <f>C4-C12</f>
        <v/>
      </c>
      <c r="D14" s="24">
        <f>D4-D12</f>
        <v/>
      </c>
      <c r="E14" s="24">
        <f>E4-E12</f>
        <v/>
      </c>
      <c r="F14" s="24">
        <f>F4-F12</f>
        <v/>
      </c>
      <c r="G14" s="24">
        <f>G4-G12</f>
        <v/>
      </c>
    </row>
    <row r="15">
      <c r="A15" s="27" t="inlineStr">
        <is>
          <t>Gross Margin %</t>
        </is>
      </c>
      <c r="B15" s="233">
        <f>IF(B4=0,0,B14/B4)</f>
        <v/>
      </c>
      <c r="C15" s="233">
        <f>IF(C4=0,0,C14/C4)</f>
        <v/>
      </c>
      <c r="D15" s="233">
        <f>IF(D4=0,0,D14/D4)</f>
        <v/>
      </c>
      <c r="E15" s="233">
        <f>IF(E4=0,0,E14/E4)</f>
        <v/>
      </c>
      <c r="F15" s="233">
        <f>IF(F4=0,0,F14/F4)</f>
        <v/>
      </c>
      <c r="G15" s="233">
        <f>IF(G4=0,0,G14/G4)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8" t="inlineStr">
        <is>
          <t>OPERATING EXPENSES</t>
        </is>
      </c>
      <c r="B17" s="9" t="n"/>
      <c r="C17" s="9" t="n"/>
      <c r="D17" s="9" t="n"/>
      <c r="E17" s="9" t="n"/>
      <c r="F17" s="9" t="n"/>
      <c r="G17" s="9" t="n"/>
    </row>
    <row r="18">
      <c r="A18" s="12" t="inlineStr">
        <is>
          <t>Total OpEx</t>
        </is>
      </c>
      <c r="B18" s="13" t="n">
        <v>1186667</v>
      </c>
      <c r="C18" s="13" t="n">
        <v>1506667</v>
      </c>
      <c r="D18" s="13" t="n">
        <v>1866667</v>
      </c>
      <c r="E18" s="13" t="n">
        <v>2480000</v>
      </c>
      <c r="F18" s="13" t="n">
        <v>2880000</v>
      </c>
      <c r="G18" s="13" t="n">
        <v>3993333</v>
      </c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 ht="14.65" customHeight="1" s="42" thickBot="1">
      <c r="A20" s="25" t="inlineStr">
        <is>
          <t>NET INCOME</t>
        </is>
      </c>
      <c r="B20" s="26" t="n"/>
      <c r="C20" s="26" t="n"/>
      <c r="D20" s="26" t="n"/>
      <c r="E20" s="26" t="n"/>
      <c r="F20" s="26" t="n"/>
      <c r="G20" s="26" t="n"/>
    </row>
    <row r="21">
      <c r="A21" s="23" t="inlineStr">
        <is>
          <t>Net Income</t>
        </is>
      </c>
      <c r="B21" s="24" t="n">
        <v>308000</v>
      </c>
      <c r="C21" s="24" t="n">
        <v>1225333</v>
      </c>
      <c r="D21" s="24" t="n">
        <v>2348000</v>
      </c>
      <c r="E21" s="24" t="n">
        <v>3560000</v>
      </c>
      <c r="F21" s="24" t="n">
        <v>5013333</v>
      </c>
      <c r="G21" s="24" t="n">
        <v>5260000</v>
      </c>
    </row>
    <row r="22">
      <c r="A22" s="27" t="inlineStr">
        <is>
          <t>Net Margin %</t>
        </is>
      </c>
      <c r="B22" s="233">
        <f>IF(B4=0,0,B21/B4)</f>
        <v/>
      </c>
      <c r="C22" s="233">
        <f>IF(C4=0,0,C21/C4)</f>
        <v/>
      </c>
      <c r="D22" s="233">
        <f>IF(D4=0,0,D21/D4)</f>
        <v/>
      </c>
      <c r="E22" s="233">
        <f>IF(E4=0,0,E21/E4)</f>
        <v/>
      </c>
      <c r="F22" s="233">
        <f>IF(F4=0,0,F21/F4)</f>
        <v/>
      </c>
      <c r="G22" s="233">
        <f>IF(G4=0,0,G21/G4)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8" t="inlineStr">
        <is>
          <t>KEY METRICS</t>
        </is>
      </c>
      <c r="B24" s="9" t="n"/>
      <c r="C24" s="9" t="n"/>
      <c r="D24" s="9" t="n"/>
      <c r="E24" s="9" t="n"/>
      <c r="F24" s="9" t="n"/>
      <c r="G24" s="9" t="n"/>
    </row>
    <row r="25">
      <c r="A25" s="12" t="inlineStr">
        <is>
          <t>Study Capacity</t>
        </is>
      </c>
      <c r="B25" s="18" t="n">
        <v>20</v>
      </c>
      <c r="C25" s="18" t="n">
        <v>40</v>
      </c>
      <c r="D25" s="18" t="n">
        <v>65</v>
      </c>
      <c r="E25" s="18" t="n">
        <v>85</v>
      </c>
      <c r="F25" s="18" t="n">
        <v>100</v>
      </c>
      <c r="G25" s="18" t="n">
        <v>125</v>
      </c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8" t="inlineStr">
        <is>
          <t>INVESTMENT</t>
        </is>
      </c>
      <c r="B27" s="9" t="n"/>
      <c r="C27" s="9" t="n"/>
      <c r="D27" s="9" t="n"/>
      <c r="E27" s="9" t="n"/>
      <c r="F27" s="9" t="n"/>
      <c r="G27" s="9" t="n"/>
    </row>
    <row r="28">
      <c r="A28" s="12" t="inlineStr">
        <is>
          <t>Stage I (2026)</t>
        </is>
      </c>
      <c r="B28" s="17" t="n">
        <v>1500000</v>
      </c>
      <c r="C28" s="12" t="n"/>
      <c r="D28" s="12" t="n"/>
      <c r="E28" s="12" t="n"/>
      <c r="F28" s="12" t="n"/>
      <c r="G28" s="12" t="n"/>
    </row>
    <row r="29">
      <c r="A29" s="12" t="inlineStr">
        <is>
          <t>Stage II (2027-2028)</t>
        </is>
      </c>
      <c r="B29" s="17" t="n">
        <v>3000000</v>
      </c>
      <c r="C29" s="12" t="n"/>
      <c r="D29" s="12" t="n"/>
      <c r="E29" s="12" t="n"/>
      <c r="F29" s="12" t="n"/>
      <c r="G29" s="12" t="n"/>
    </row>
    <row r="30">
      <c r="A30" s="12" t="inlineStr">
        <is>
          <t>Total Investment</t>
        </is>
      </c>
      <c r="B30" s="16">
        <f>B28+B29</f>
        <v/>
      </c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inlineStr">
        <is>
          <t>Valuation Target (2031)</t>
        </is>
      </c>
      <c r="B32" s="11" t="n">
        <v>50000000</v>
      </c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20" t="inlineStr">
        <is>
          <t>Partners</t>
        </is>
      </c>
      <c r="B34" s="30" t="inlineStr">
        <is>
          <t>CARE Medical, KFSHRC</t>
        </is>
      </c>
      <c r="C34" s="20" t="n"/>
      <c r="D34" s="20" t="n"/>
      <c r="E34" s="20" t="n"/>
      <c r="F34" s="20" t="n"/>
      <c r="G34" s="20" t="n"/>
    </row>
  </sheetData>
  <conditionalFormatting sqref="B21:G21">
    <cfRule type="expression" priority="1"/>
    <cfRule type="expression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C0392B"/>
    <outlinePr summaryBelow="1" summaryRight="1"/>
    <pageSetUpPr/>
  </sheetPr>
  <dimension ref="A1:H40"/>
  <sheetViews>
    <sheetView workbookViewId="0">
      <pane ySplit="2" topLeftCell="A16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1.33203125" customWidth="1" style="42" min="2" max="7"/>
    <col width="17.796875" customWidth="1" style="42" min="8" max="8"/>
  </cols>
  <sheetData>
    <row r="1" ht="18" customHeight="1" s="42">
      <c r="A1" s="1" t="inlineStr">
        <is>
          <t>Saudi Clinical Intelligence Group — Consolidated P&amp;L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32" t="inlineStr">
        <is>
          <t>($, USD)</t>
        </is>
      </c>
      <c r="B2" s="7" t="n">
        <v>2026</v>
      </c>
      <c r="C2" s="7" t="n">
        <v>2027</v>
      </c>
      <c r="D2" s="7" t="n">
        <v>2028</v>
      </c>
      <c r="E2" s="7" t="n">
        <v>2029</v>
      </c>
      <c r="F2" s="7" t="n">
        <v>2030</v>
      </c>
      <c r="G2" s="7" t="n">
        <v>2031</v>
      </c>
      <c r="H2" s="4" t="inlineStr">
        <is>
          <t>Notes</t>
        </is>
      </c>
    </row>
    <row r="3">
      <c r="A3" s="8" t="inlineStr">
        <is>
          <t>REVENUE BY COMPANY</t>
        </is>
      </c>
      <c r="B3" s="9" t="n"/>
      <c r="C3" s="9" t="n"/>
      <c r="D3" s="9" t="n"/>
      <c r="E3" s="9" t="n"/>
      <c r="F3" s="9" t="n"/>
      <c r="G3" s="9" t="n"/>
    </row>
    <row r="4">
      <c r="A4" s="33" t="inlineStr">
        <is>
          <t xml:space="preserve">  NAMA Medical</t>
        </is>
      </c>
      <c r="B4" s="34">
        <f>'NAMA Medical'!C4</f>
        <v/>
      </c>
      <c r="C4" s="34">
        <f>'NAMA Medical'!D4</f>
        <v/>
      </c>
      <c r="D4" s="34">
        <f>'NAMA Medical'!E4</f>
        <v/>
      </c>
      <c r="E4" s="34">
        <f>'NAMA Medical'!F4</f>
        <v/>
      </c>
      <c r="F4" s="34">
        <f>'NAMA Medical'!G4</f>
        <v/>
      </c>
      <c r="G4" s="34">
        <f>'NAMA Medical'!H4</f>
        <v/>
      </c>
    </row>
    <row r="5">
      <c r="A5" s="33" t="inlineStr">
        <is>
          <t xml:space="preserve">  Waraqa</t>
        </is>
      </c>
      <c r="B5" s="34">
        <f>Waraqa!B4</f>
        <v/>
      </c>
      <c r="C5" s="34">
        <f>Waraqa!C4</f>
        <v/>
      </c>
      <c r="D5" s="34">
        <f>Waraqa!D4</f>
        <v/>
      </c>
      <c r="E5" s="34">
        <f>Waraqa!E4</f>
        <v/>
      </c>
      <c r="F5" s="34">
        <f>Waraqa!F4</f>
        <v/>
      </c>
      <c r="G5" s="34" t="n">
        <v>0</v>
      </c>
    </row>
    <row r="6">
      <c r="A6" s="33" t="inlineStr">
        <is>
          <t xml:space="preserve">  NAMA Knowledge</t>
        </is>
      </c>
      <c r="B6" s="34">
        <f>'NAMA Knowledge'!B4</f>
        <v/>
      </c>
      <c r="C6" s="34">
        <f>'NAMA Knowledge'!C4</f>
        <v/>
      </c>
      <c r="D6" s="34">
        <f>'NAMA Knowledge'!D4</f>
        <v/>
      </c>
      <c r="E6" s="34">
        <f>'NAMA Knowledge'!E4</f>
        <v/>
      </c>
      <c r="F6" s="34">
        <f>'NAMA Knowledge'!F4</f>
        <v/>
      </c>
      <c r="G6" s="34" t="n">
        <v>0</v>
      </c>
    </row>
    <row r="7">
      <c r="A7" s="33" t="inlineStr">
        <is>
          <t xml:space="preserve">  NAMA BIO</t>
        </is>
      </c>
      <c r="B7" s="34">
        <f>'NAMA BIO'!B4</f>
        <v/>
      </c>
      <c r="C7" s="34">
        <f>'NAMA BIO'!C4</f>
        <v/>
      </c>
      <c r="D7" s="34">
        <f>'NAMA BIO'!D4</f>
        <v/>
      </c>
      <c r="E7" s="34">
        <f>'NAMA BIO'!E4</f>
        <v/>
      </c>
      <c r="F7" s="34">
        <f>'NAMA BIO'!F4</f>
        <v/>
      </c>
      <c r="G7" s="34">
        <f>'NAMA BIO'!G4</f>
        <v/>
      </c>
    </row>
    <row r="8" ht="14.65" customHeight="1" s="42" thickBot="1">
      <c r="A8" s="20" t="n"/>
      <c r="B8" s="20" t="n"/>
      <c r="C8" s="20" t="n"/>
      <c r="D8" s="20" t="n"/>
      <c r="E8" s="20" t="n"/>
      <c r="F8" s="20" t="n"/>
      <c r="G8" s="20" t="n"/>
    </row>
    <row r="9">
      <c r="A9" s="39" t="inlineStr">
        <is>
          <t>Total Group Revenue</t>
        </is>
      </c>
      <c r="B9" s="24">
        <f>SUM(B4:B7)</f>
        <v/>
      </c>
      <c r="C9" s="24">
        <f>SUM(C4:C7)</f>
        <v/>
      </c>
      <c r="D9" s="24">
        <f>SUM(D4:D7)</f>
        <v/>
      </c>
      <c r="E9" s="24">
        <f>SUM(E4:E7)</f>
        <v/>
      </c>
      <c r="F9" s="24">
        <f>SUM(F4:F7)</f>
        <v/>
      </c>
      <c r="G9" s="24">
        <f>SUM(G4:G7)</f>
        <v/>
      </c>
    </row>
    <row r="10">
      <c r="A10" s="37" t="inlineStr">
        <is>
          <t>YoY Growth %</t>
        </is>
      </c>
      <c r="B10" s="38" t="inlineStr">
        <is>
          <t>N/A</t>
        </is>
      </c>
      <c r="C10" s="233">
        <f>(C9-B9)/B9</f>
        <v/>
      </c>
      <c r="D10" s="233">
        <f>(D9-C9)/C9</f>
        <v/>
      </c>
      <c r="E10" s="233">
        <f>(E9-D9)/D9</f>
        <v/>
      </c>
      <c r="F10" s="233">
        <f>(F9-E9)/E9</f>
        <v/>
      </c>
      <c r="G10" s="233">
        <f>(G9-F9)/F9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8" t="inlineStr">
        <is>
          <t>COST OF REVENUE</t>
        </is>
      </c>
      <c r="B12" s="9" t="n"/>
      <c r="C12" s="9" t="n"/>
      <c r="D12" s="9" t="n"/>
      <c r="E12" s="9" t="n"/>
      <c r="F12" s="9" t="n"/>
      <c r="G12" s="9" t="n"/>
    </row>
    <row r="13">
      <c r="A13" s="33" t="inlineStr">
        <is>
          <t xml:space="preserve">  NAMA Medical COGS</t>
        </is>
      </c>
      <c r="B13" s="34">
        <f>'NAMA Medical'!C15</f>
        <v/>
      </c>
      <c r="C13" s="34">
        <f>'NAMA Medical'!D15</f>
        <v/>
      </c>
      <c r="D13" s="34">
        <f>'NAMA Medical'!E15</f>
        <v/>
      </c>
      <c r="E13" s="34">
        <f>'NAMA Medical'!F15</f>
        <v/>
      </c>
      <c r="F13" s="34">
        <f>'NAMA Medical'!G15</f>
        <v/>
      </c>
      <c r="G13" s="34">
        <f>'NAMA Medical'!H15</f>
        <v/>
      </c>
    </row>
    <row r="14">
      <c r="A14" s="33" t="inlineStr">
        <is>
          <t xml:space="preserve">  Waraqa COGS</t>
        </is>
      </c>
      <c r="B14" s="34">
        <f>Waraqa!B13</f>
        <v/>
      </c>
      <c r="C14" s="34">
        <f>Waraqa!C13</f>
        <v/>
      </c>
      <c r="D14" s="34">
        <f>Waraqa!D13</f>
        <v/>
      </c>
      <c r="E14" s="34">
        <f>Waraqa!E13</f>
        <v/>
      </c>
      <c r="F14" s="34">
        <f>Waraqa!F13</f>
        <v/>
      </c>
      <c r="G14" s="34" t="n">
        <v>0</v>
      </c>
    </row>
    <row r="15">
      <c r="A15" s="33" t="inlineStr">
        <is>
          <t xml:space="preserve">  NAMA Knowledge COGS</t>
        </is>
      </c>
      <c r="B15" s="34">
        <f>'NAMA Knowledge'!B13</f>
        <v/>
      </c>
      <c r="C15" s="34">
        <f>'NAMA Knowledge'!C13</f>
        <v/>
      </c>
      <c r="D15" s="34">
        <f>'NAMA Knowledge'!D13</f>
        <v/>
      </c>
      <c r="E15" s="34">
        <f>'NAMA Knowledge'!E13</f>
        <v/>
      </c>
      <c r="F15" s="34">
        <f>'NAMA Knowledge'!F13</f>
        <v/>
      </c>
      <c r="G15" s="34" t="n">
        <v>0</v>
      </c>
    </row>
    <row r="16" ht="14.65" customHeight="1" s="42" thickBot="1">
      <c r="A16" s="40" t="inlineStr">
        <is>
          <t xml:space="preserve">  NAMA BIO COGS</t>
        </is>
      </c>
      <c r="B16" s="41">
        <f>'NAMA BIO'!B12</f>
        <v/>
      </c>
      <c r="C16" s="41">
        <f>'NAMA BIO'!C12</f>
        <v/>
      </c>
      <c r="D16" s="41">
        <f>'NAMA BIO'!D12</f>
        <v/>
      </c>
      <c r="E16" s="41">
        <f>'NAMA BIO'!E12</f>
        <v/>
      </c>
      <c r="F16" s="41">
        <f>'NAMA BIO'!F12</f>
        <v/>
      </c>
      <c r="G16" s="41">
        <f>'NAMA BIO'!G12</f>
        <v/>
      </c>
    </row>
    <row r="17">
      <c r="A17" s="39" t="inlineStr">
        <is>
          <t>Total Group COGS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4">
        <f>SUM(E13:E16)</f>
        <v/>
      </c>
      <c r="F17" s="24">
        <f>SUM(F13:F16)</f>
        <v/>
      </c>
      <c r="G17" s="24">
        <f>SUM(G13:G16)</f>
        <v/>
      </c>
    </row>
    <row r="18" ht="14.65" customHeight="1" s="42" thickBot="1"/>
    <row r="19">
      <c r="A19" s="39" t="inlineStr">
        <is>
          <t>Total Gross Profit</t>
        </is>
      </c>
      <c r="B19" s="24">
        <f>B9-B17</f>
        <v/>
      </c>
      <c r="C19" s="24">
        <f>C9-C17</f>
        <v/>
      </c>
      <c r="D19" s="24">
        <f>D9-D17</f>
        <v/>
      </c>
      <c r="E19" s="24">
        <f>E9-E17</f>
        <v/>
      </c>
      <c r="F19" s="24">
        <f>F9-F17</f>
        <v/>
      </c>
      <c r="G19" s="24">
        <f>G9-G17</f>
        <v/>
      </c>
    </row>
    <row r="20">
      <c r="A20" s="27" t="inlineStr">
        <is>
          <t>Gross Margin %</t>
        </is>
      </c>
      <c r="B20" s="233">
        <f>IF(B9=0,0,B19/B9)</f>
        <v/>
      </c>
      <c r="C20" s="233">
        <f>IF(C9=0,0,C19/C9)</f>
        <v/>
      </c>
      <c r="D20" s="233">
        <f>IF(D9=0,0,D19/D9)</f>
        <v/>
      </c>
      <c r="E20" s="233">
        <f>IF(E9=0,0,E19/E9)</f>
        <v/>
      </c>
      <c r="F20" s="233">
        <f>IF(F9=0,0,F19/F9)</f>
        <v/>
      </c>
      <c r="G20" s="233">
        <f>IF(G9=0,0,G19/G9)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8" t="inlineStr">
        <is>
          <t>OPERATING EXPENSES</t>
        </is>
      </c>
      <c r="B22" s="9" t="n"/>
      <c r="C22" s="9" t="n"/>
      <c r="D22" s="9" t="n"/>
      <c r="E22" s="9" t="n"/>
      <c r="F22" s="9" t="n"/>
      <c r="G22" s="9" t="n"/>
    </row>
    <row r="23">
      <c r="A23" s="33" t="inlineStr">
        <is>
          <t xml:space="preserve">  NAMA Medical OpEx</t>
        </is>
      </c>
      <c r="B23" s="34">
        <f>'NAMA Medical'!C26</f>
        <v/>
      </c>
      <c r="C23" s="34">
        <f>'NAMA Medical'!D26</f>
        <v/>
      </c>
      <c r="D23" s="34">
        <f>'NAMA Medical'!E26</f>
        <v/>
      </c>
      <c r="E23" s="34">
        <f>'NAMA Medical'!F26</f>
        <v/>
      </c>
      <c r="F23" s="34">
        <f>'NAMA Medical'!G26</f>
        <v/>
      </c>
      <c r="G23" s="34">
        <f>'NAMA Medical'!H26</f>
        <v/>
      </c>
    </row>
    <row r="24">
      <c r="A24" s="33" t="inlineStr">
        <is>
          <t xml:space="preserve">  Waraqa OpEx</t>
        </is>
      </c>
      <c r="B24" s="34">
        <f>Waraqa!B24</f>
        <v/>
      </c>
      <c r="C24" s="34">
        <f>Waraqa!C24</f>
        <v/>
      </c>
      <c r="D24" s="34">
        <f>Waraqa!D24</f>
        <v/>
      </c>
      <c r="E24" s="34">
        <f>Waraqa!E24</f>
        <v/>
      </c>
      <c r="F24" s="34">
        <f>Waraqa!F24</f>
        <v/>
      </c>
      <c r="G24" s="34" t="n">
        <v>0</v>
      </c>
    </row>
    <row r="25">
      <c r="A25" s="33" t="inlineStr">
        <is>
          <t xml:space="preserve">  NAMA Knowledge OpEx</t>
        </is>
      </c>
      <c r="B25" s="34">
        <f>'NAMA Knowledge'!B25</f>
        <v/>
      </c>
      <c r="C25" s="34">
        <f>'NAMA Knowledge'!C25</f>
        <v/>
      </c>
      <c r="D25" s="34">
        <f>'NAMA Knowledge'!D25</f>
        <v/>
      </c>
      <c r="E25" s="34">
        <f>'NAMA Knowledge'!E25</f>
        <v/>
      </c>
      <c r="F25" s="34">
        <f>'NAMA Knowledge'!F25</f>
        <v/>
      </c>
      <c r="G25" s="34" t="n">
        <v>0</v>
      </c>
    </row>
    <row r="26" ht="14.65" customHeight="1" s="42" thickBot="1">
      <c r="A26" s="40" t="inlineStr">
        <is>
          <t xml:space="preserve">  NAMA BIO OpEx</t>
        </is>
      </c>
      <c r="B26" s="41">
        <f>'NAMA BIO'!B18</f>
        <v/>
      </c>
      <c r="C26" s="41">
        <f>'NAMA BIO'!C18</f>
        <v/>
      </c>
      <c r="D26" s="41">
        <f>'NAMA BIO'!D18</f>
        <v/>
      </c>
      <c r="E26" s="41">
        <f>'NAMA BIO'!E18</f>
        <v/>
      </c>
      <c r="F26" s="41">
        <f>'NAMA BIO'!F18</f>
        <v/>
      </c>
      <c r="G26" s="41">
        <f>'NAMA BIO'!G18</f>
        <v/>
      </c>
    </row>
    <row r="27">
      <c r="A27" s="39" t="inlineStr">
        <is>
          <t>Total Group OpEx</t>
        </is>
      </c>
      <c r="B27" s="24">
        <f>SUM(B23:B26)</f>
        <v/>
      </c>
      <c r="C27" s="24">
        <f>SUM(C23:C26)</f>
        <v/>
      </c>
      <c r="D27" s="24">
        <f>SUM(D23:D26)</f>
        <v/>
      </c>
      <c r="E27" s="24">
        <f>SUM(E23:E26)</f>
        <v/>
      </c>
      <c r="F27" s="24">
        <f>SUM(F23:F26)</f>
        <v/>
      </c>
      <c r="G27" s="24">
        <f>SUM(G23:G26)</f>
        <v/>
      </c>
    </row>
    <row r="28" ht="14.65" customHeight="1" s="42" thickBot="1"/>
    <row r="29">
      <c r="A29" s="39" t="inlineStr">
        <is>
          <t>Total EBITDA</t>
        </is>
      </c>
      <c r="B29" s="24">
        <f>B19-B27</f>
        <v/>
      </c>
      <c r="C29" s="24">
        <f>C19-C27</f>
        <v/>
      </c>
      <c r="D29" s="24">
        <f>D19-D27</f>
        <v/>
      </c>
      <c r="E29" s="24">
        <f>E19-E27</f>
        <v/>
      </c>
      <c r="F29" s="24">
        <f>F19-F27</f>
        <v/>
      </c>
      <c r="G29" s="24">
        <f>G19-G27</f>
        <v/>
      </c>
    </row>
    <row r="30">
      <c r="A30" s="27" t="inlineStr">
        <is>
          <t>EBITDA Margin %</t>
        </is>
      </c>
      <c r="B30" s="233">
        <f>IF(B9=0,0,B29/B9)</f>
        <v/>
      </c>
      <c r="C30" s="233">
        <f>IF(C9=0,0,C29/C9)</f>
        <v/>
      </c>
      <c r="D30" s="233">
        <f>IF(D9=0,0,D29/D9)</f>
        <v/>
      </c>
      <c r="E30" s="233">
        <f>IF(E9=0,0,E29/E9)</f>
        <v/>
      </c>
      <c r="F30" s="233">
        <f>IF(F9=0,0,F29/F9)</f>
        <v/>
      </c>
      <c r="G30" s="233">
        <f>IF(G9=0,0,G29/G9)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8" t="inlineStr">
        <is>
          <t>HEADCOUNT</t>
        </is>
      </c>
      <c r="B32" s="9" t="n"/>
      <c r="C32" s="9" t="n"/>
      <c r="D32" s="9" t="n"/>
      <c r="E32" s="9" t="n"/>
      <c r="F32" s="9" t="n"/>
      <c r="G32" s="9" t="n"/>
    </row>
    <row r="33">
      <c r="A33" s="33" t="inlineStr">
        <is>
          <t xml:space="preserve">  NAMA Medical</t>
        </is>
      </c>
      <c r="B33" s="35">
        <f>'NAMA Medical'!C33</f>
        <v/>
      </c>
      <c r="C33" s="35">
        <f>'NAMA Medical'!D33</f>
        <v/>
      </c>
      <c r="D33" s="35">
        <f>'NAMA Medical'!E33</f>
        <v/>
      </c>
      <c r="E33" s="35">
        <f>'NAMA Medical'!F33</f>
        <v/>
      </c>
      <c r="F33" s="35">
        <f>'NAMA Medical'!G33</f>
        <v/>
      </c>
      <c r="G33" s="35">
        <f>'NAMA Medical'!H33</f>
        <v/>
      </c>
    </row>
    <row r="34">
      <c r="A34" s="33" t="inlineStr">
        <is>
          <t xml:space="preserve">  Waraqa</t>
        </is>
      </c>
      <c r="B34" s="35">
        <f>Waraqa!B31</f>
        <v/>
      </c>
      <c r="C34" s="35">
        <f>Waraqa!C31</f>
        <v/>
      </c>
      <c r="D34" s="35">
        <f>Waraqa!D31</f>
        <v/>
      </c>
      <c r="E34" s="35">
        <f>Waraqa!E31</f>
        <v/>
      </c>
      <c r="F34" s="35">
        <f>Waraqa!F31</f>
        <v/>
      </c>
      <c r="G34" s="35" t="n">
        <v>0</v>
      </c>
    </row>
    <row r="35">
      <c r="A35" s="33" t="inlineStr">
        <is>
          <t xml:space="preserve">  NAMA Knowledge</t>
        </is>
      </c>
      <c r="B35" s="35">
        <f>'NAMA Knowledge'!B32</f>
        <v/>
      </c>
      <c r="C35" s="35">
        <f>'NAMA Knowledge'!C32</f>
        <v/>
      </c>
      <c r="D35" s="35">
        <f>'NAMA Knowledge'!D32</f>
        <v/>
      </c>
      <c r="E35" s="35">
        <f>'NAMA Knowledge'!E32</f>
        <v/>
      </c>
      <c r="F35" s="35">
        <f>'NAMA Knowledge'!F32</f>
        <v/>
      </c>
      <c r="G35" s="35" t="n">
        <v>0</v>
      </c>
    </row>
    <row r="36" ht="14.65" customHeight="1" s="42" thickBot="1">
      <c r="A36" s="40" t="inlineStr">
        <is>
          <t xml:space="preserve">  NAMA BIO (est.)</t>
        </is>
      </c>
      <c r="B36" s="43" t="n">
        <v>15</v>
      </c>
      <c r="C36" s="43" t="n">
        <v>25</v>
      </c>
      <c r="D36" s="43" t="n">
        <v>35</v>
      </c>
      <c r="E36" s="43" t="n">
        <v>45</v>
      </c>
      <c r="F36" s="43" t="n">
        <v>55</v>
      </c>
      <c r="G36" s="43" t="n">
        <v>65</v>
      </c>
    </row>
    <row r="37">
      <c r="A37" s="39" t="inlineStr">
        <is>
          <t>Total Group Headcount</t>
        </is>
      </c>
      <c r="B37" s="44">
        <f>SUM(B33:B36)</f>
        <v/>
      </c>
      <c r="C37" s="44">
        <f>SUM(C33:C36)</f>
        <v/>
      </c>
      <c r="D37" s="44">
        <f>SUM(D33:D36)</f>
        <v/>
      </c>
      <c r="E37" s="44">
        <f>SUM(E33:E36)</f>
        <v/>
      </c>
      <c r="F37" s="44">
        <f>SUM(F33:F36)</f>
        <v/>
      </c>
      <c r="G37" s="44">
        <f>SUM(G33:G36)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</row>
    <row r="39">
      <c r="A39" s="36" t="inlineStr">
        <is>
          <t>INVESTMENT DEPLOYED</t>
        </is>
      </c>
      <c r="B39" s="9" t="n"/>
      <c r="C39" s="9" t="n"/>
      <c r="D39" s="9" t="n"/>
      <c r="E39" s="9" t="n"/>
      <c r="F39" s="9" t="n"/>
      <c r="G39" s="9" t="n"/>
    </row>
    <row r="40">
      <c r="A40" s="20" t="inlineStr">
        <is>
          <t>Cumulative Investment</t>
        </is>
      </c>
      <c r="B40" s="21" t="n">
        <v>5500000</v>
      </c>
      <c r="C40" s="21" t="n">
        <v>11500000</v>
      </c>
      <c r="D40" s="21" t="n">
        <v>13000000</v>
      </c>
      <c r="E40" s="21" t="n">
        <v>13000000</v>
      </c>
      <c r="F40" s="21" t="n">
        <v>13000000</v>
      </c>
      <c r="G40" s="21" t="n">
        <v>13000000</v>
      </c>
    </row>
  </sheetData>
  <conditionalFormatting sqref="B29:G29">
    <cfRule type="expression" priority="1"/>
    <cfRule type="expression" priority="2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39C12"/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1.33203125" customWidth="1" style="42" min="2" max="7"/>
  </cols>
  <sheetData>
    <row r="1" ht="18" customHeight="1" s="42">
      <c r="A1" s="1" t="inlineStr">
        <is>
          <t>Investment &amp; Returns Analysis</t>
        </is>
      </c>
      <c r="B1" s="3" t="n"/>
      <c r="C1" s="3" t="n"/>
      <c r="D1" s="3" t="n"/>
      <c r="E1" s="3" t="n"/>
      <c r="F1" s="3" t="n"/>
      <c r="G1" s="3" t="n"/>
    </row>
    <row r="2" ht="14.65" customHeight="1" s="42" thickBot="1"/>
    <row r="3">
      <c r="A3" s="93" t="inlineStr">
        <is>
          <t>CAPITAL REQUIREMENTS</t>
        </is>
      </c>
      <c r="B3" s="94" t="inlineStr">
        <is>
          <t>Investment</t>
        </is>
      </c>
      <c r="C3" s="94" t="inlineStr">
        <is>
          <t>% of Total</t>
        </is>
      </c>
      <c r="D3" s="95" t="inlineStr">
        <is>
          <t>Stage</t>
        </is>
      </c>
    </row>
    <row r="4">
      <c r="A4" s="81" t="inlineStr">
        <is>
          <t>NAMA Medical</t>
        </is>
      </c>
      <c r="B4" s="82" t="n">
        <v>5000000</v>
      </c>
      <c r="C4" s="236">
        <f>B4/$B$8</f>
        <v/>
      </c>
      <c r="D4" s="84" t="inlineStr">
        <is>
          <t>Growth (Y1-Y2)</t>
        </is>
      </c>
    </row>
    <row r="5">
      <c r="A5" s="85" t="inlineStr">
        <is>
          <t>Waraqa</t>
        </is>
      </c>
      <c r="B5" s="86" t="n">
        <v>2500000</v>
      </c>
      <c r="C5" s="237">
        <f>B5/$B$8</f>
        <v/>
      </c>
      <c r="D5" s="88" t="inlineStr">
        <is>
          <t>MVP + Scale (Y1-Y2)</t>
        </is>
      </c>
    </row>
    <row r="6">
      <c r="A6" s="81" t="inlineStr">
        <is>
          <t>NAMA Knowledge</t>
        </is>
      </c>
      <c r="B6" s="82" t="n">
        <v>1000000</v>
      </c>
      <c r="C6" s="236">
        <f>B6/$B$8</f>
        <v/>
      </c>
      <c r="D6" s="84" t="inlineStr">
        <is>
          <t>Seed / MVP (Y1-Y2)</t>
        </is>
      </c>
    </row>
    <row r="7">
      <c r="A7" s="85" t="inlineStr">
        <is>
          <t>NAMA BIO</t>
        </is>
      </c>
      <c r="B7" s="86" t="n">
        <v>4500000</v>
      </c>
      <c r="C7" s="237">
        <f>B7/$B$8</f>
        <v/>
      </c>
      <c r="D7" s="88" t="inlineStr">
        <is>
          <t>Stage I + II (Y1-Y3)</t>
        </is>
      </c>
    </row>
    <row r="8" ht="14.65" customHeight="1" s="42" thickBot="1">
      <c r="A8" s="89" t="inlineStr">
        <is>
          <t>TOTAL</t>
        </is>
      </c>
      <c r="B8" s="90">
        <f>SUM(B4:B7)</f>
        <v/>
      </c>
      <c r="C8" s="238">
        <f>SUM(C4:C7)</f>
        <v/>
      </c>
      <c r="D8" s="92" t="n"/>
    </row>
    <row r="9" ht="14.65" customHeight="1" s="42" thickBot="1"/>
    <row r="10">
      <c r="A10" s="93" t="inlineStr">
        <is>
          <t>DEPLOYMENT SCHEDULE</t>
        </is>
      </c>
      <c r="B10" s="111" t="n">
        <v>2026</v>
      </c>
      <c r="C10" s="111" t="n">
        <v>2027</v>
      </c>
      <c r="D10" s="111" t="n">
        <v>2028</v>
      </c>
      <c r="E10" s="111" t="n">
        <v>2029</v>
      </c>
      <c r="F10" s="111" t="n">
        <v>2030</v>
      </c>
      <c r="G10" s="112" t="n">
        <v>2031</v>
      </c>
    </row>
    <row r="11">
      <c r="A11" s="81" t="inlineStr">
        <is>
          <t>NAMA Medical</t>
        </is>
      </c>
      <c r="B11" s="82" t="n">
        <v>2500000</v>
      </c>
      <c r="C11" s="82" t="n">
        <v>2500000</v>
      </c>
      <c r="D11" s="239" t="n">
        <v>0</v>
      </c>
      <c r="E11" s="239" t="n">
        <v>0</v>
      </c>
      <c r="F11" s="239" t="n">
        <v>0</v>
      </c>
      <c r="G11" s="240" t="n">
        <v>0</v>
      </c>
    </row>
    <row r="12">
      <c r="A12" s="85" t="inlineStr">
        <is>
          <t>Waraqa</t>
        </is>
      </c>
      <c r="B12" s="86" t="n">
        <v>1000000</v>
      </c>
      <c r="C12" s="86" t="n">
        <v>1500000</v>
      </c>
      <c r="D12" s="241" t="n">
        <v>0</v>
      </c>
      <c r="E12" s="241" t="n">
        <v>0</v>
      </c>
      <c r="F12" s="241" t="n">
        <v>0</v>
      </c>
      <c r="G12" s="242" t="n">
        <v>0</v>
      </c>
    </row>
    <row r="13">
      <c r="A13" s="81" t="inlineStr">
        <is>
          <t>NAMA Knowledge</t>
        </is>
      </c>
      <c r="B13" s="82" t="n">
        <v>500000</v>
      </c>
      <c r="C13" s="82" t="n">
        <v>500000</v>
      </c>
      <c r="D13" s="243" t="n">
        <v>0</v>
      </c>
      <c r="E13" s="239" t="n">
        <v>0</v>
      </c>
      <c r="F13" s="239" t="n">
        <v>0</v>
      </c>
      <c r="G13" s="240" t="n">
        <v>0</v>
      </c>
    </row>
    <row r="14">
      <c r="A14" s="85" t="inlineStr">
        <is>
          <t>NAMA BIO</t>
        </is>
      </c>
      <c r="B14" s="86" t="n">
        <v>1500000</v>
      </c>
      <c r="C14" s="86" t="n">
        <v>1500000</v>
      </c>
      <c r="D14" s="86" t="n">
        <v>1500000</v>
      </c>
      <c r="E14" s="244" t="n">
        <v>0</v>
      </c>
      <c r="F14" s="244" t="n">
        <v>0</v>
      </c>
      <c r="G14" s="245" t="n">
        <v>0</v>
      </c>
    </row>
    <row r="15">
      <c r="A15" s="104" t="inlineStr">
        <is>
          <t>Annual Deployment</t>
        </is>
      </c>
      <c r="B15" s="105">
        <f>SUM(B11:B14)</f>
        <v/>
      </c>
      <c r="C15" s="105">
        <f>SUM(C11:C14)</f>
        <v/>
      </c>
      <c r="D15" s="105">
        <f>SUM(D11:D14)</f>
        <v/>
      </c>
      <c r="E15" s="246">
        <f>SUM(E11:E14)</f>
        <v/>
      </c>
      <c r="F15" s="246">
        <f>SUM(F11:F14)</f>
        <v/>
      </c>
      <c r="G15" s="247">
        <f>SUM(G11:G14)</f>
        <v/>
      </c>
    </row>
    <row r="16" ht="14.65" customHeight="1" s="42" thickBot="1">
      <c r="A16" s="108" t="inlineStr">
        <is>
          <t>Cumulative</t>
        </is>
      </c>
      <c r="B16" s="109">
        <f>B15</f>
        <v/>
      </c>
      <c r="C16" s="109">
        <f>B16+C15</f>
        <v/>
      </c>
      <c r="D16" s="109">
        <f>C16+D15</f>
        <v/>
      </c>
      <c r="E16" s="109">
        <f>D16+E15</f>
        <v/>
      </c>
      <c r="F16" s="109">
        <f>E16+F15</f>
        <v/>
      </c>
      <c r="G16" s="110">
        <f>F16+G15</f>
        <v/>
      </c>
    </row>
    <row r="17" ht="14.65" customHeight="1" s="42" thickBot="1"/>
    <row r="18">
      <c r="A18" s="93" t="inlineStr">
        <is>
          <t>REVENUE MULTIPLE ANALYSIS (EV/Revenue)</t>
        </is>
      </c>
      <c r="B18" s="123" t="n"/>
      <c r="C18" s="94" t="inlineStr">
        <is>
          <t>3x</t>
        </is>
      </c>
      <c r="D18" s="94" t="inlineStr">
        <is>
          <t>5x</t>
        </is>
      </c>
      <c r="E18" s="95" t="inlineStr">
        <is>
          <t>8x</t>
        </is>
      </c>
    </row>
    <row r="19">
      <c r="A19" s="81" t="inlineStr">
        <is>
          <t>2030 Revenue (Peak)</t>
        </is>
      </c>
      <c r="B19" s="113">
        <f>'Consolidated P&amp;L'!F9</f>
        <v/>
      </c>
      <c r="C19" s="114">
        <f>B19*3</f>
        <v/>
      </c>
      <c r="D19" s="114">
        <f>B19*5</f>
        <v/>
      </c>
      <c r="E19" s="115">
        <f>B19*8</f>
        <v/>
      </c>
    </row>
    <row r="20">
      <c r="A20" s="85" t="inlineStr">
        <is>
          <t>2031 Revenue</t>
        </is>
      </c>
      <c r="B20" s="116">
        <f>'Consolidated P&amp;L'!G9</f>
        <v/>
      </c>
      <c r="C20" s="105">
        <f>B20*3</f>
        <v/>
      </c>
      <c r="D20" s="105">
        <f>B20*5</f>
        <v/>
      </c>
      <c r="E20" s="117">
        <f>B20*8</f>
        <v/>
      </c>
    </row>
    <row r="21" ht="14.65" customHeight="1" s="42" thickBot="1">
      <c r="A21" s="119" t="inlineStr">
        <is>
          <t>MOIC on $13M Investment</t>
        </is>
      </c>
      <c r="B21" s="120" t="n"/>
      <c r="C21" s="248">
        <f>C19/$B$8</f>
        <v/>
      </c>
      <c r="D21" s="248">
        <f>D19/$B$8</f>
        <v/>
      </c>
      <c r="E21" s="249">
        <f>E19/$B$8</f>
        <v/>
      </c>
    </row>
    <row r="22" ht="14.65" customHeight="1" s="42" thickBot="1"/>
    <row r="23">
      <c r="A23" s="93" t="inlineStr">
        <is>
          <t>EBITDA MULTIPLE ANALYSIS (EV/EBITDA)</t>
        </is>
      </c>
      <c r="B23" s="123" t="n"/>
      <c r="C23" s="94" t="inlineStr">
        <is>
          <t>10x</t>
        </is>
      </c>
      <c r="D23" s="94" t="inlineStr">
        <is>
          <t>15x</t>
        </is>
      </c>
      <c r="E23" s="95" t="inlineStr">
        <is>
          <t>20x</t>
        </is>
      </c>
    </row>
    <row r="24">
      <c r="A24" s="81" t="inlineStr">
        <is>
          <t>2030 EBITDA</t>
        </is>
      </c>
      <c r="B24" s="113">
        <f>'Consolidated P&amp;L'!F29</f>
        <v/>
      </c>
      <c r="C24" s="114">
        <f>B24*10</f>
        <v/>
      </c>
      <c r="D24" s="114">
        <f>B24*15</f>
        <v/>
      </c>
      <c r="E24" s="115">
        <f>B24*20</f>
        <v/>
      </c>
    </row>
    <row r="25">
      <c r="A25" s="85" t="inlineStr">
        <is>
          <t>2031 EBITDA</t>
        </is>
      </c>
      <c r="B25" s="116">
        <f>'Consolidated P&amp;L'!G29</f>
        <v/>
      </c>
      <c r="C25" s="105">
        <f>B25*10</f>
        <v/>
      </c>
      <c r="D25" s="105">
        <f>B25*15</f>
        <v/>
      </c>
      <c r="E25" s="117">
        <f>B25*20</f>
        <v/>
      </c>
    </row>
    <row r="26" ht="14.65" customHeight="1" s="42" thickBot="1">
      <c r="A26" s="119" t="inlineStr">
        <is>
          <t>MOIC on $13M Investment</t>
        </is>
      </c>
      <c r="B26" s="120" t="n"/>
      <c r="C26" s="248">
        <f>C24/$B$8</f>
        <v/>
      </c>
      <c r="D26" s="248">
        <f>D24/$B$8</f>
        <v/>
      </c>
      <c r="E26" s="249">
        <f>E24/$B$8</f>
        <v/>
      </c>
    </row>
    <row r="27" ht="14.65" customHeight="1" s="42" thickBot="1"/>
    <row r="28">
      <c r="A28" s="93" t="inlineStr">
        <is>
          <t>EXIT SCENARIOS</t>
        </is>
      </c>
      <c r="B28" s="94" t="inlineStr">
        <is>
          <t>Conservative</t>
        </is>
      </c>
      <c r="C28" s="94" t="inlineStr">
        <is>
          <t>Base Case</t>
        </is>
      </c>
      <c r="D28" s="95" t="inlineStr">
        <is>
          <t>Optimistic</t>
        </is>
      </c>
    </row>
    <row r="29">
      <c r="A29" s="81" t="inlineStr">
        <is>
          <t>Exit Valuation (2031)</t>
        </is>
      </c>
      <c r="B29" s="124" t="n">
        <v>200000000</v>
      </c>
      <c r="C29" s="124" t="n">
        <v>354000000</v>
      </c>
      <c r="D29" s="125" t="n">
        <v>500000000</v>
      </c>
    </row>
    <row r="30">
      <c r="A30" s="85" t="inlineStr">
        <is>
          <t>Total Investment</t>
        </is>
      </c>
      <c r="B30" s="126">
        <f>$B$8</f>
        <v/>
      </c>
      <c r="C30" s="126">
        <f>$B$8</f>
        <v/>
      </c>
      <c r="D30" s="127">
        <f>$B$8</f>
        <v/>
      </c>
    </row>
    <row r="31">
      <c r="A31" s="128" t="inlineStr">
        <is>
          <t>MOIC</t>
        </is>
      </c>
      <c r="B31" s="250">
        <f>B29/B30</f>
        <v/>
      </c>
      <c r="C31" s="250">
        <f>C29/C30</f>
        <v/>
      </c>
      <c r="D31" s="251">
        <f>D29/D30</f>
        <v/>
      </c>
    </row>
    <row r="32">
      <c r="A32" s="85" t="inlineStr">
        <is>
          <t>Hold Period (years)</t>
        </is>
      </c>
      <c r="B32" s="131" t="n">
        <v>5</v>
      </c>
      <c r="C32" s="131" t="n">
        <v>5</v>
      </c>
      <c r="D32" s="132" t="n">
        <v>5</v>
      </c>
    </row>
    <row r="33">
      <c r="A33" s="133" t="inlineStr">
        <is>
          <t>IRR</t>
        </is>
      </c>
      <c r="B33" s="252">
        <f>(B29/B30)^(1/B32)-1</f>
        <v/>
      </c>
      <c r="C33" s="252">
        <f>(C29/C30)^(1/C32)-1</f>
        <v/>
      </c>
      <c r="D33" s="253">
        <f>(D29/D30)^(1/D32)-1</f>
        <v/>
      </c>
    </row>
    <row r="34" ht="14.65" customHeight="1" s="42" thickBot="1">
      <c r="A34" s="137" t="inlineStr">
        <is>
          <t>Net Return</t>
        </is>
      </c>
      <c r="B34" s="109">
        <f>B29-B30</f>
        <v/>
      </c>
      <c r="C34" s="109">
        <f>C29-C30</f>
        <v/>
      </c>
      <c r="D34" s="110">
        <f>D29-D30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7F8C8D"/>
    <outlinePr summaryBelow="1" summaryRight="1"/>
    <pageSetUpPr/>
  </sheetPr>
  <dimension ref="A1:D34"/>
  <sheetViews>
    <sheetView topLeftCell="CO1" workbookViewId="0">
      <pane ySplit="1" topLeftCell="A15" activePane="bottomLeft" state="frozen"/>
      <selection pane="bottomLeft" activeCell="A1" sqref="A1"/>
    </sheetView>
  </sheetViews>
  <sheetFormatPr baseColWidth="8" defaultRowHeight="14.25"/>
  <cols>
    <col width="39.1328125" customWidth="1" style="42" min="1" max="1"/>
    <col width="26.6640625" customWidth="1" style="42" min="2" max="2"/>
    <col width="30.19921875" customWidth="1" style="42" min="3" max="3"/>
    <col width="39.1328125" customWidth="1" style="42" min="4" max="4"/>
  </cols>
  <sheetData>
    <row r="1" ht="18" customHeight="1" s="42">
      <c r="A1" s="1" t="inlineStr">
        <is>
          <t>Key Model Assumptions</t>
        </is>
      </c>
      <c r="B1" s="3" t="n"/>
      <c r="C1" s="3" t="n"/>
      <c r="D1" s="3" t="n"/>
    </row>
    <row r="2"/>
    <row r="3">
      <c r="A3" s="138" t="inlineStr">
        <is>
          <t>GENERAL ASSUMPTIONS</t>
        </is>
      </c>
      <c r="B3" s="139" t="inlineStr">
        <is>
          <t>Value</t>
        </is>
      </c>
      <c r="C3" s="139" t="inlineStr">
        <is>
          <t>Unit</t>
        </is>
      </c>
      <c r="D3" s="140" t="inlineStr">
        <is>
          <t>Notes</t>
        </is>
      </c>
    </row>
    <row r="4">
      <c r="A4" s="81" t="inlineStr">
        <is>
          <t>Currency</t>
        </is>
      </c>
      <c r="B4" s="141" t="inlineStr">
        <is>
          <t>USD</t>
        </is>
      </c>
      <c r="C4" s="142" t="n"/>
      <c r="D4" s="143" t="inlineStr">
        <is>
          <t>All figures in US Dollars</t>
        </is>
      </c>
    </row>
    <row r="5">
      <c r="A5" s="85" t="inlineStr">
        <is>
          <t>Tax Rate (Saudi Zakat)</t>
        </is>
      </c>
      <c r="B5" s="254" t="n">
        <v>0.2</v>
      </c>
      <c r="C5" s="145" t="inlineStr">
        <is>
          <t>%</t>
        </is>
      </c>
      <c r="D5" s="146" t="inlineStr">
        <is>
          <t>Saudi corporate Zakat rate</t>
        </is>
      </c>
    </row>
    <row r="6">
      <c r="A6" s="81" t="inlineStr">
        <is>
          <t>Discount Rate for DCF</t>
        </is>
      </c>
      <c r="B6" s="255" t="n">
        <v>0.15</v>
      </c>
      <c r="C6" s="142" t="inlineStr">
        <is>
          <t>%</t>
        </is>
      </c>
      <c r="D6" s="143" t="inlineStr">
        <is>
          <t>WACC / cost of capital</t>
        </is>
      </c>
    </row>
    <row r="7">
      <c r="A7" s="85" t="inlineStr">
        <is>
          <t>Terminal Growth Rate</t>
        </is>
      </c>
      <c r="B7" s="254" t="n">
        <v>0.03</v>
      </c>
      <c r="C7" s="145" t="inlineStr">
        <is>
          <t>%</t>
        </is>
      </c>
      <c r="D7" s="146" t="inlineStr">
        <is>
          <t>Long-term perpetuity growth</t>
        </is>
      </c>
    </row>
    <row r="8">
      <c r="A8" s="81" t="inlineStr">
        <is>
          <t>Model Horizon</t>
        </is>
      </c>
      <c r="B8" s="141" t="inlineStr">
        <is>
          <t>2025-2031</t>
        </is>
      </c>
      <c r="C8" s="142" t="inlineStr">
        <is>
          <t>Years</t>
        </is>
      </c>
      <c r="D8" s="143" t="inlineStr">
        <is>
          <t>6-7 year projection</t>
        </is>
      </c>
    </row>
    <row r="9">
      <c r="A9" s="85" t="inlineStr">
        <is>
          <t>Total Investment</t>
        </is>
      </c>
      <c r="B9" s="148" t="n">
        <v>22500000</v>
      </c>
      <c r="C9" s="145" t="inlineStr">
        <is>
          <t>USD</t>
        </is>
      </c>
      <c r="D9" s="146" t="inlineStr">
        <is>
          <t>Across all 4 companies</t>
        </is>
      </c>
    </row>
    <row r="10">
      <c r="A10" s="149" t="inlineStr">
        <is>
          <t>Exit Year</t>
        </is>
      </c>
      <c r="B10" s="150" t="n">
        <v>2031</v>
      </c>
      <c r="C10" s="118" t="n"/>
      <c r="D10" s="151" t="inlineStr">
        <is>
          <t>5-year hold from 2026</t>
        </is>
      </c>
    </row>
    <row r="11"/>
    <row r="12">
      <c r="A12" s="138" t="inlineStr">
        <is>
          <t>REVENUE GROWTH RATES BY COMPANY</t>
        </is>
      </c>
      <c r="B12" s="152" t="n"/>
      <c r="C12" s="152" t="n"/>
      <c r="D12" s="153" t="n"/>
    </row>
    <row r="13">
      <c r="A13" s="81" t="inlineStr">
        <is>
          <t>NAMA Medical</t>
        </is>
      </c>
      <c r="B13" s="154" t="inlineStr">
        <is>
          <t>$300K → $40M</t>
        </is>
      </c>
      <c r="C13" s="155" t="inlineStr">
        <is>
          <t>74.1% CAGR</t>
        </is>
      </c>
      <c r="D13" s="143" t="inlineStr">
        <is>
          <t>CRO market penetration + AI upside</t>
        </is>
      </c>
    </row>
    <row r="14">
      <c r="A14" s="85" t="inlineStr">
        <is>
          <t>Waraqa</t>
        </is>
      </c>
      <c r="B14" s="156" t="inlineStr">
        <is>
          <t>$1.2M → $24M</t>
        </is>
      </c>
      <c r="C14" s="157" t="inlineStr">
        <is>
          <t>82.1% CAGR</t>
        </is>
      </c>
      <c r="D14" s="146" t="inlineStr">
        <is>
          <t>Platform + APC revenue model</t>
        </is>
      </c>
    </row>
    <row r="15">
      <c r="A15" s="81" t="inlineStr">
        <is>
          <t>NAMA Knowledge</t>
        </is>
      </c>
      <c r="B15" s="154" t="inlineStr">
        <is>
          <t>$1.5M → $28M</t>
        </is>
      </c>
      <c r="C15" s="155" t="inlineStr">
        <is>
          <t>79.6% CAGR</t>
        </is>
      </c>
      <c r="D15" s="143" t="inlineStr">
        <is>
          <t>LMS + CME subscription growth</t>
        </is>
      </c>
    </row>
    <row r="16">
      <c r="A16" s="136" t="inlineStr">
        <is>
          <t>NAMA BIO</t>
        </is>
      </c>
      <c r="B16" s="158" t="inlineStr">
        <is>
          <t>$2.7M → $15.7M</t>
        </is>
      </c>
      <c r="C16" s="159" t="inlineStr">
        <is>
          <t>41.9% CAGR</t>
        </is>
      </c>
      <c r="D16" s="160" t="inlineStr">
        <is>
          <t>Lab capacity expansion 20→125 studies</t>
        </is>
      </c>
    </row>
    <row r="17"/>
    <row r="18">
      <c r="A18" s="138" t="inlineStr">
        <is>
          <t>MARGIN IMPROVEMENT TRAJECTORIES</t>
        </is>
      </c>
      <c r="B18" s="152" t="n"/>
      <c r="C18" s="152" t="n"/>
      <c r="D18" s="153" t="n"/>
    </row>
    <row r="19">
      <c r="A19" s="81" t="inlineStr">
        <is>
          <t>NAMA Medical</t>
        </is>
      </c>
      <c r="B19" s="154" t="inlineStr">
        <is>
          <t>COGS: 35% → 30%</t>
        </is>
      </c>
      <c r="C19" s="155" t="inlineStr">
        <is>
          <t>EBITDA: 52.5% target</t>
        </is>
      </c>
      <c r="D19" s="143" t="inlineStr">
        <is>
          <t>Scale-driven margin expansion</t>
        </is>
      </c>
    </row>
    <row r="20">
      <c r="A20" s="85" t="inlineStr">
        <is>
          <t>Waraqa</t>
        </is>
      </c>
      <c r="B20" s="156" t="inlineStr">
        <is>
          <t>COGS: 33% fixed</t>
        </is>
      </c>
      <c r="C20" s="157" t="inlineStr">
        <is>
          <t>EBITDA: 45% target</t>
        </is>
      </c>
      <c r="D20" s="146" t="inlineStr">
        <is>
          <t>Platform economics; low marginal cost</t>
        </is>
      </c>
    </row>
    <row r="21">
      <c r="A21" s="81" t="inlineStr">
        <is>
          <t>NAMA Knowledge</t>
        </is>
      </c>
      <c r="B21" s="154" t="inlineStr">
        <is>
          <t>COGS: 28% fixed</t>
        </is>
      </c>
      <c r="C21" s="155" t="inlineStr">
        <is>
          <t>EBITDA: 34% target</t>
        </is>
      </c>
      <c r="D21" s="143" t="inlineStr">
        <is>
          <t>High digital margin; content investment</t>
        </is>
      </c>
    </row>
    <row r="22">
      <c r="A22" s="136" t="inlineStr">
        <is>
          <t>NAMA BIO</t>
        </is>
      </c>
      <c r="B22" s="158" t="inlineStr">
        <is>
          <t>COGS: 40%-35%</t>
        </is>
      </c>
      <c r="C22" s="159" t="inlineStr">
        <is>
          <t>EBITDA: 40% target</t>
        </is>
      </c>
      <c r="D22" s="160" t="inlineStr">
        <is>
          <t>Lab utilization drives margin</t>
        </is>
      </c>
    </row>
    <row r="23"/>
    <row r="24">
      <c r="A24" s="138" t="inlineStr">
        <is>
          <t>HEADCOUNT GROWTH RATES</t>
        </is>
      </c>
      <c r="B24" s="152" t="n"/>
      <c r="C24" s="152" t="n"/>
      <c r="D24" s="153" t="n"/>
    </row>
    <row r="25">
      <c r="A25" s="81" t="inlineStr">
        <is>
          <t>NAMA Medical</t>
        </is>
      </c>
      <c r="B25" s="154" t="inlineStr">
        <is>
          <t>13 → 212</t>
        </is>
      </c>
      <c r="C25" s="155" t="inlineStr">
        <is>
          <t>16.3x growth</t>
        </is>
      </c>
      <c r="D25" s="143" t="inlineStr">
        <is>
          <t>CRO staff, PIs, medical writers</t>
        </is>
      </c>
    </row>
    <row r="26">
      <c r="A26" s="85" t="inlineStr">
        <is>
          <t>Waraqa</t>
        </is>
      </c>
      <c r="B26" s="156" t="inlineStr">
        <is>
          <t>6 → 40</t>
        </is>
      </c>
      <c r="C26" s="157" t="inlineStr">
        <is>
          <t>6.7x growth</t>
        </is>
      </c>
      <c r="D26" s="146" t="inlineStr">
        <is>
          <t>Tech + editorial team</t>
        </is>
      </c>
    </row>
    <row r="27">
      <c r="A27" s="81" t="inlineStr">
        <is>
          <t>NAMA Knowledge</t>
        </is>
      </c>
      <c r="B27" s="154" t="inlineStr">
        <is>
          <t>25 → 140</t>
        </is>
      </c>
      <c r="C27" s="155" t="inlineStr">
        <is>
          <t>5.6x growth</t>
        </is>
      </c>
      <c r="D27" s="143" t="inlineStr">
        <is>
          <t>Content developers, trainers, ops</t>
        </is>
      </c>
    </row>
    <row r="28">
      <c r="A28" s="136" t="inlineStr">
        <is>
          <t>NAMA BIO</t>
        </is>
      </c>
      <c r="B28" s="158" t="inlineStr">
        <is>
          <t>15 → 65 (est.)</t>
        </is>
      </c>
      <c r="C28" s="159" t="inlineStr">
        <is>
          <t>4.3x growth</t>
        </is>
      </c>
      <c r="D28" s="160" t="inlineStr">
        <is>
          <t>Lab technicians, QA, regulatory</t>
        </is>
      </c>
    </row>
    <row r="29"/>
    <row r="30">
      <c r="A30" s="138" t="inlineStr">
        <is>
          <t>MARKET SIZES (TAM / SAM / SOM)</t>
        </is>
      </c>
      <c r="B30" s="152" t="n"/>
      <c r="C30" s="152" t="n"/>
      <c r="D30" s="153" t="n"/>
    </row>
    <row r="31">
      <c r="A31" s="81" t="inlineStr">
        <is>
          <t>NAMA Medical</t>
        </is>
      </c>
      <c r="B31" s="154" t="inlineStr">
        <is>
          <t>Global CRO: $80B+</t>
        </is>
      </c>
      <c r="C31" s="142" t="inlineStr">
        <is>
          <t>MENA CRO: ~$2B</t>
        </is>
      </c>
      <c r="D31" s="143" t="inlineStr">
        <is>
          <t>Saudi focus; GCC expansion</t>
        </is>
      </c>
    </row>
    <row r="32">
      <c r="A32" s="85" t="inlineStr">
        <is>
          <t>Waraqa</t>
        </is>
      </c>
      <c r="B32" s="156" t="inlineStr">
        <is>
          <t>TAM: $1,264M</t>
        </is>
      </c>
      <c r="C32" s="145" t="inlineStr">
        <is>
          <t>SAM: $18.3M / SOM: $4.6-6.6M</t>
        </is>
      </c>
      <c r="D32" s="146" t="inlineStr">
        <is>
          <t>Academic publishing MENA</t>
        </is>
      </c>
    </row>
    <row r="33">
      <c r="A33" s="81" t="inlineStr">
        <is>
          <t>NAMA Knowledge</t>
        </is>
      </c>
      <c r="B33" s="154" t="inlineStr">
        <is>
          <t>MedEd: $10B+ global</t>
        </is>
      </c>
      <c r="C33" s="142" t="inlineStr">
        <is>
          <t>MENA CME: ~$500M</t>
        </is>
      </c>
      <c r="D33" s="143" t="inlineStr">
        <is>
          <t>Digitization tailwind in KSA</t>
        </is>
      </c>
    </row>
    <row r="34">
      <c r="A34" s="136" t="inlineStr">
        <is>
          <t>NAMA BIO</t>
        </is>
      </c>
      <c r="B34" s="158" t="inlineStr">
        <is>
          <t>BE Market: $3B+ global</t>
        </is>
      </c>
      <c r="C34" s="161" t="inlineStr">
        <is>
          <t>KSA/GCC: ~$200M</t>
        </is>
      </c>
      <c r="D34" s="160" t="inlineStr">
        <is>
          <t>SFDA regulatory push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E74C3C"/>
    <outlinePr summaryBelow="1" summaryRight="1"/>
    <pageSetUpPr/>
  </sheetPr>
  <dimension ref="A1:F42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25"/>
  <cols>
    <col width="35.53125" customWidth="1" style="42" min="1" max="1"/>
    <col width="23.1328125" customWidth="1" style="42" min="2" max="3"/>
    <col width="26.6640625" customWidth="1" style="42" min="4" max="4"/>
    <col width="24.86328125" customWidth="1" style="42" min="5" max="5"/>
    <col width="53.33203125" customWidth="1" style="42" min="6" max="6"/>
  </cols>
  <sheetData>
    <row r="1" ht="18" customHeight="1" s="42">
      <c r="A1" s="164" t="inlineStr">
        <is>
          <t>CAPITAL ALLOCATION AUDIT &amp; COMMENTARY</t>
        </is>
      </c>
      <c r="B1" s="165" t="n"/>
      <c r="C1" s="165" t="n"/>
      <c r="D1" s="165" t="n"/>
      <c r="E1" s="165" t="n"/>
      <c r="F1" s="165" t="n"/>
    </row>
    <row r="2">
      <c r="A2" s="166" t="inlineStr">
        <is>
          <t>Saudi Clinical Intelligence Group — VC Analyst Review | Saudi/GCC-Calibrated</t>
        </is>
      </c>
      <c r="B2" s="167" t="n"/>
      <c r="C2" s="167" t="n"/>
      <c r="D2" s="167" t="n"/>
      <c r="E2" s="167" t="n"/>
      <c r="F2" s="167" t="n"/>
    </row>
    <row r="3" ht="14.65" customHeight="1" s="42" thickBot="1"/>
    <row r="4">
      <c r="A4" s="175" t="inlineStr">
        <is>
          <t>REVISED CAPITAL ALLOCATION</t>
        </is>
      </c>
      <c r="B4" s="94" t="inlineStr">
        <is>
          <t>Previous</t>
        </is>
      </c>
      <c r="C4" s="94" t="inlineStr">
        <is>
          <t>Revised</t>
        </is>
      </c>
      <c r="D4" s="94" t="inlineStr">
        <is>
          <t>Change</t>
        </is>
      </c>
      <c r="E4" s="94" t="inlineStr">
        <is>
          <t>MVP Stage</t>
        </is>
      </c>
      <c r="F4" s="179" t="inlineStr">
        <is>
          <t>Scaling Stage</t>
        </is>
      </c>
    </row>
    <row r="5">
      <c r="A5" s="176" t="inlineStr">
        <is>
          <t>NAMA Medical</t>
        </is>
      </c>
      <c r="B5" s="169" t="n">
        <v>5000000</v>
      </c>
      <c r="C5" s="114" t="n">
        <v>5000000</v>
      </c>
      <c r="D5" s="239">
        <f>C5-B5</f>
        <v/>
      </c>
      <c r="E5" s="82" t="n">
        <v>2000000</v>
      </c>
      <c r="F5" s="180" t="n">
        <v>3000000</v>
      </c>
    </row>
    <row r="6">
      <c r="A6" s="177" t="inlineStr">
        <is>
          <t>Waraqa</t>
        </is>
      </c>
      <c r="B6" s="126" t="n">
        <v>1000000</v>
      </c>
      <c r="C6" s="170" t="n">
        <v>2500000</v>
      </c>
      <c r="D6" s="256">
        <f>C6-B6</f>
        <v/>
      </c>
      <c r="E6" s="86" t="n">
        <v>1000000</v>
      </c>
      <c r="F6" s="181" t="n">
        <v>1500000</v>
      </c>
    </row>
    <row r="7">
      <c r="A7" s="176" t="inlineStr">
        <is>
          <t>NAMA Knowledge</t>
        </is>
      </c>
      <c r="B7" s="169" t="n">
        <v>12000000</v>
      </c>
      <c r="C7" s="172" t="n">
        <v>1000000</v>
      </c>
      <c r="D7" s="257">
        <f>C7-B7</f>
        <v/>
      </c>
      <c r="E7" s="82" t="n">
        <v>500000</v>
      </c>
      <c r="F7" s="180" t="n">
        <v>500000</v>
      </c>
    </row>
    <row r="8">
      <c r="A8" s="177" t="inlineStr">
        <is>
          <t>NAMA BIO</t>
        </is>
      </c>
      <c r="B8" s="126" t="n">
        <v>4500000</v>
      </c>
      <c r="C8" s="105" t="n">
        <v>4500000</v>
      </c>
      <c r="D8" s="241">
        <f>C8-B8</f>
        <v/>
      </c>
      <c r="E8" s="86" t="n">
        <v>2000000</v>
      </c>
      <c r="F8" s="181" t="n">
        <v>2500000</v>
      </c>
    </row>
    <row r="9" ht="14.65" customHeight="1" s="42" thickBot="1">
      <c r="A9" s="178" t="inlineStr">
        <is>
          <t>TOTAL</t>
        </is>
      </c>
      <c r="B9" s="90">
        <f>SUM(B5:B8)</f>
        <v/>
      </c>
      <c r="C9" s="90">
        <f>SUM(C5:C8)</f>
        <v/>
      </c>
      <c r="D9" s="258">
        <f>C9-B9</f>
        <v/>
      </c>
      <c r="E9" s="90">
        <f>SUM(E5:E8)</f>
        <v/>
      </c>
      <c r="F9" s="182">
        <f>SUM(F5:F8)</f>
        <v/>
      </c>
    </row>
    <row r="10" ht="14.65" customHeight="1" s="42" thickBot="1"/>
    <row r="11">
      <c r="A11" s="175" t="inlineStr">
        <is>
          <t>CAPITAL EFFICIENCY ANALYSIS</t>
        </is>
      </c>
      <c r="B11" s="94" t="inlineStr">
        <is>
          <t>Capital / Y1 Rev</t>
        </is>
      </c>
      <c r="C11" s="94" t="inlineStr">
        <is>
          <t>Rev / $ Invested (Y5)</t>
        </is>
      </c>
      <c r="D11" s="94" t="inlineStr">
        <is>
          <t>Capital / Employee (Y1)</t>
        </is>
      </c>
      <c r="E11" s="94" t="inlineStr">
        <is>
          <t>Revenue / Emp (Y5)</t>
        </is>
      </c>
      <c r="F11" s="179" t="inlineStr">
        <is>
          <t>Rating</t>
        </is>
      </c>
    </row>
    <row r="12">
      <c r="A12" s="176" t="inlineStr">
        <is>
          <t>NAMA Medical</t>
        </is>
      </c>
      <c r="B12" s="259">
        <f>C5/2500000</f>
        <v/>
      </c>
      <c r="C12" s="259">
        <f>40000000/C5</f>
        <v/>
      </c>
      <c r="D12" s="169">
        <f>C5/25</f>
        <v/>
      </c>
      <c r="E12" s="169">
        <f>40000000/160</f>
        <v/>
      </c>
      <c r="F12" s="188" t="inlineStr">
        <is>
          <t>✅ Reasonable</t>
        </is>
      </c>
    </row>
    <row r="13">
      <c r="A13" s="177" t="inlineStr">
        <is>
          <t>Waraqa</t>
        </is>
      </c>
      <c r="B13" s="260">
        <f>C6/1200000</f>
        <v/>
      </c>
      <c r="C13" s="260">
        <f>24000000/C6</f>
        <v/>
      </c>
      <c r="D13" s="126">
        <f>C6/8</f>
        <v/>
      </c>
      <c r="E13" s="126">
        <f>24000000/40</f>
        <v/>
      </c>
      <c r="F13" s="189" t="inlineStr">
        <is>
          <t>✅ Now adequate</t>
        </is>
      </c>
    </row>
    <row r="14">
      <c r="A14" s="176" t="inlineStr">
        <is>
          <t>NAMA Knowledge</t>
        </is>
      </c>
      <c r="B14" s="259">
        <f>C7/1500000</f>
        <v/>
      </c>
      <c r="C14" s="259">
        <f>28000000/C7</f>
        <v/>
      </c>
      <c r="D14" s="169">
        <f>C7/10</f>
        <v/>
      </c>
      <c r="E14" s="169">
        <f>28000000/60</f>
        <v/>
      </c>
      <c r="F14" s="188" t="inlineStr">
        <is>
          <t>✅ Right-sized</t>
        </is>
      </c>
    </row>
    <row r="15" ht="14.65" customHeight="1" s="42" thickBot="1">
      <c r="A15" s="187" t="inlineStr">
        <is>
          <t>NAMA BIO</t>
        </is>
      </c>
      <c r="B15" s="261">
        <f>C8/2733333</f>
        <v/>
      </c>
      <c r="C15" s="261">
        <f>15746667/C8</f>
        <v/>
      </c>
      <c r="D15" s="186">
        <f>C8/15</f>
        <v/>
      </c>
      <c r="E15" s="186">
        <f>15746667/65</f>
        <v/>
      </c>
      <c r="F15" s="190" t="inlineStr">
        <is>
          <t>✅ Lab-appropriate</t>
        </is>
      </c>
    </row>
    <row r="16"/>
    <row r="17" ht="14.65" customHeight="1" s="42" thickBot="1">
      <c r="A17" s="168" t="inlineStr">
        <is>
          <t>AUDIT FINDINGS &amp; MODELING ERRORS IDENTIFIED</t>
        </is>
      </c>
      <c r="B17" s="165" t="n"/>
      <c r="C17" s="165" t="n"/>
      <c r="D17" s="165" t="n"/>
      <c r="E17" s="165" t="n"/>
      <c r="F17" s="165" t="n"/>
    </row>
    <row r="18">
      <c r="A18" s="191" t="inlineStr">
        <is>
          <t>#</t>
        </is>
      </c>
      <c r="B18" s="216" t="inlineStr">
        <is>
          <t>Finding</t>
        </is>
      </c>
    </row>
    <row r="19" ht="71.25" customHeight="1" s="42">
      <c r="A19" s="192" t="n">
        <v>1</v>
      </c>
      <c r="B19" s="217" t="inlineStr">
        <is>
          <t>NAMA Knowledge $12M allocation was 12x revenue — no LMS/CME platform requires this. Reduced to $1M (MVP + Scale).</t>
        </is>
      </c>
    </row>
    <row r="20" ht="71.25" customHeight="1" s="42">
      <c r="A20" s="192" t="n">
        <v>2</v>
      </c>
      <c r="B20" s="217" t="inlineStr">
        <is>
          <t>Waraqa at $1M was underfunded — cannot cover AI/ML compute + engineering payroll. Raised to $2.5M.</t>
        </is>
      </c>
    </row>
    <row r="21" ht="71.25" customHeight="1" s="42">
      <c r="A21" s="193" t="n">
        <v>3</v>
      </c>
      <c r="B21" s="217" t="inlineStr">
        <is>
          <t>NAMA Knowledge headcount of 25 at Y1 for $1.5M rev = $60K/head. Reduced to 10 (KSA benchmark: $150K/head).</t>
        </is>
      </c>
    </row>
    <row r="22" ht="71.25" customHeight="1" s="42">
      <c r="A22" s="193" t="n">
        <v>4</v>
      </c>
      <c r="B22" s="217" t="inlineStr">
        <is>
          <t>NAMA Knowledge Y5 headcount 140 for $28M rev = $200K/head. Reduced to 60 ($467K/head, healthy SaaS metric).</t>
        </is>
      </c>
    </row>
    <row r="23" ht="71.25" customHeight="1" s="42">
      <c r="A23" s="193" t="n">
        <v>5</v>
      </c>
      <c r="B23" s="217" t="inlineStr">
        <is>
          <t>Waraqa Y5 revenue ($24M) exceeds its own SAM ($18.3M). Structurally impossible without intl expansion not modeled.</t>
        </is>
      </c>
    </row>
    <row r="24" ht="71.25" customHeight="1" s="42">
      <c r="A24" s="193" t="n">
        <v>6</v>
      </c>
      <c r="B24" s="217" t="inlineStr">
        <is>
          <t>NAMA Medical Y7 headcount 212 reduced to 160. AI-augmented CRO should achieve $250K rev/head at scale.</t>
        </is>
      </c>
    </row>
    <row r="25" ht="71.25" customHeight="1" s="42">
      <c r="A25" s="194" t="n">
        <v>7</v>
      </c>
      <c r="B25" s="217" t="inlineStr">
        <is>
          <t>Original model OpEx % sums exceeded 100% for Waraqa (103%) and NK (100%). Previous fix applied scale reductions.</t>
        </is>
      </c>
    </row>
    <row r="26" ht="85.5" customHeight="1" s="42">
      <c r="A26" s="194" t="n">
        <v>8</v>
      </c>
      <c r="B26" s="217" t="inlineStr">
        <is>
          <t>Total capital reduced $22.5M → $13M (42% reduction). Capital efficiency: MOIC improves from 15.7x to 27.2x on base.</t>
        </is>
      </c>
    </row>
    <row r="27" ht="71.25" customHeight="1" s="42">
      <c r="A27" s="194" t="n">
        <v>9</v>
      </c>
      <c r="B27" s="217" t="inlineStr">
        <is>
          <t>NAMA BIO is the best-calibrated entity — actual financial data, realistic 42% CAGR, lab-appropriate capex.</t>
        </is>
      </c>
    </row>
    <row r="28" ht="71.65000000000001" customHeight="1" s="42" thickBot="1">
      <c r="A28" s="195" t="n">
        <v>10</v>
      </c>
      <c r="B28" s="218" t="inlineStr">
        <is>
          <t>Deployment now front-loaded: 42% Y1, 46% Y2, 12% Y3. Full deployment by 2028 vs. previous 2028 completion.</t>
        </is>
      </c>
    </row>
    <row r="29"/>
    <row r="30" ht="14.65" customHeight="1" s="42" thickBot="1">
      <c r="A30" s="48" t="inlineStr">
        <is>
          <t>SENSITIVITY ANALYSIS — EXIT VALUATION vs. INVESTMENT (MOIC)</t>
        </is>
      </c>
      <c r="B30" s="3" t="n"/>
      <c r="C30" s="3" t="n"/>
      <c r="D30" s="3" t="n"/>
      <c r="E30" s="3" t="n"/>
      <c r="F30" s="3" t="n"/>
    </row>
    <row r="31">
      <c r="A31" s="202" t="inlineStr">
        <is>
          <t>Exit Valuation →</t>
        </is>
      </c>
      <c r="B31" s="200" t="inlineStr">
        <is>
          <t>$150M</t>
        </is>
      </c>
      <c r="C31" s="200" t="inlineStr">
        <is>
          <t>$200M</t>
        </is>
      </c>
      <c r="D31" s="201" t="inlineStr">
        <is>
          <t>$354M</t>
        </is>
      </c>
      <c r="E31" s="200" t="inlineStr">
        <is>
          <t>$500M</t>
        </is>
      </c>
      <c r="F31" s="204" t="inlineStr">
        <is>
          <t>$750M</t>
        </is>
      </c>
    </row>
    <row r="32">
      <c r="A32" s="176" t="inlineStr">
        <is>
          <t>MOIC ($13M invested)</t>
        </is>
      </c>
      <c r="B32" s="250">
        <f>150000000/$C$9</f>
        <v/>
      </c>
      <c r="C32" s="250">
        <f>200000000/$C$9</f>
        <v/>
      </c>
      <c r="D32" s="262">
        <f>354000000/$C$9</f>
        <v/>
      </c>
      <c r="E32" s="250">
        <f>500000000/$C$9</f>
        <v/>
      </c>
      <c r="F32" s="263">
        <f>750000000/$C$9</f>
        <v/>
      </c>
    </row>
    <row r="33">
      <c r="A33" s="177" t="inlineStr">
        <is>
          <t>IRR (5yr hold)</t>
        </is>
      </c>
      <c r="B33" s="264">
        <f>(150000000/$C$9)^(1/5)-1</f>
        <v/>
      </c>
      <c r="C33" s="264">
        <f>(200000000/$C$9)^(1/5)-1</f>
        <v/>
      </c>
      <c r="D33" s="252">
        <f>(354000000/$C$9)^(1/5)-1</f>
        <v/>
      </c>
      <c r="E33" s="264">
        <f>(500000000/$C$9)^(1/5)-1</f>
        <v/>
      </c>
      <c r="F33" s="265">
        <f>(750000000/$C$9)^(1/5)-1</f>
        <v/>
      </c>
    </row>
    <row r="34">
      <c r="A34" s="176" t="inlineStr">
        <is>
          <t>Net Return</t>
        </is>
      </c>
      <c r="B34" s="114">
        <f>150000000-$C$9</f>
        <v/>
      </c>
      <c r="C34" s="114">
        <f>200000000-$C$9</f>
        <v/>
      </c>
      <c r="D34" s="198">
        <f>354000000-$C$9</f>
        <v/>
      </c>
      <c r="E34" s="114">
        <f>500000000-$C$9</f>
        <v/>
      </c>
      <c r="F34" s="207">
        <f>750000000-$C$9</f>
        <v/>
      </c>
    </row>
    <row r="35" ht="14.65" customHeight="1" s="42" thickBot="1">
      <c r="A35" s="203" t="inlineStr">
        <is>
          <t>MOIC ($22.5M — OLD)</t>
        </is>
      </c>
      <c r="B35" s="266">
        <f>150000000/$B$9</f>
        <v/>
      </c>
      <c r="C35" s="266">
        <f>200000000/$B$9</f>
        <v/>
      </c>
      <c r="D35" s="266">
        <f>354000000/$B$9</f>
        <v/>
      </c>
      <c r="E35" s="266">
        <f>500000000/$B$9</f>
        <v/>
      </c>
      <c r="F35" s="267">
        <f>750000000/$B$9</f>
        <v/>
      </c>
    </row>
    <row r="36"/>
    <row r="37" ht="14.65" customHeight="1" s="42" thickBot="1">
      <c r="A37" s="48" t="inlineStr">
        <is>
          <t>REVENUE GROWTH FLAG SUMMARY</t>
        </is>
      </c>
      <c r="B37" s="3" t="n"/>
      <c r="C37" s="3" t="n"/>
      <c r="D37" s="3" t="n"/>
      <c r="E37" s="3" t="n"/>
      <c r="F37" s="3" t="n"/>
    </row>
    <row r="38">
      <c r="A38" s="202" t="inlineStr">
        <is>
          <t>Company</t>
        </is>
      </c>
      <c r="B38" s="200" t="inlineStr">
        <is>
          <t>5yr CAGR</t>
        </is>
      </c>
      <c r="C38" s="200" t="inlineStr">
        <is>
          <t>Y5 Revenue</t>
        </is>
      </c>
      <c r="D38" s="200" t="inlineStr">
        <is>
          <t>SAM Check</t>
        </is>
      </c>
      <c r="E38" s="200" t="inlineStr">
        <is>
          <t>Flag</t>
        </is>
      </c>
      <c r="F38" s="219" t="inlineStr">
        <is>
          <t>Commentary</t>
        </is>
      </c>
    </row>
    <row r="39">
      <c r="A39" s="176" t="inlineStr">
        <is>
          <t>NAMA Medical</t>
        </is>
      </c>
      <c r="B39" s="236" t="n">
        <v>0.741</v>
      </c>
      <c r="C39" s="169" t="n">
        <v>40000000</v>
      </c>
      <c r="D39" s="209" t="inlineStr">
        <is>
          <t>Within MENA CRO TAM</t>
        </is>
      </c>
      <c r="E39" s="142" t="inlineStr">
        <is>
          <t>⚠️ Aggressive</t>
        </is>
      </c>
      <c r="F39" s="220" t="inlineStr">
        <is>
          <t>Plausible if Vision 2030 pharma demand materializes</t>
        </is>
      </c>
    </row>
    <row r="40">
      <c r="A40" s="214" t="inlineStr">
        <is>
          <t>Waraqa</t>
        </is>
      </c>
      <c r="B40" s="237" t="n">
        <v>0.821</v>
      </c>
      <c r="C40" s="126" t="n">
        <v>24000000</v>
      </c>
      <c r="D40" s="210" t="inlineStr">
        <is>
          <t>EXCEEDS SAM ($18.3M)</t>
        </is>
      </c>
      <c r="E40" s="157" t="inlineStr">
        <is>
          <t>🔴 Unrealistic</t>
        </is>
      </c>
      <c r="F40" s="221" t="inlineStr">
        <is>
          <t>Y5 revenue exceeds addressable market. Needs intl expansion to justify.</t>
        </is>
      </c>
    </row>
    <row r="41">
      <c r="A41" s="176" t="inlineStr">
        <is>
          <t>NAMA Knowledge</t>
        </is>
      </c>
      <c r="B41" s="236" t="n">
        <v>0.796</v>
      </c>
      <c r="C41" s="169" t="n">
        <v>28000000</v>
      </c>
      <c r="D41" s="209" t="inlineStr">
        <is>
          <t>Requires GCC-wide scale</t>
        </is>
      </c>
      <c r="E41" s="142" t="inlineStr">
        <is>
          <t>⚠️ Aggressive</t>
        </is>
      </c>
      <c r="F41" s="220" t="inlineStr">
        <is>
          <t>Achievable with pharma sponsorships but aggressive for KSA-only</t>
        </is>
      </c>
    </row>
    <row r="42" ht="14.65" customHeight="1" s="42" thickBot="1">
      <c r="A42" s="215" t="inlineStr">
        <is>
          <t>NAMA BIO</t>
        </is>
      </c>
      <c r="B42" s="268" t="n">
        <v>0.419</v>
      </c>
      <c r="C42" s="186" t="n">
        <v>15746667</v>
      </c>
      <c r="D42" s="212" t="inlineStr">
        <is>
          <t>Well within KSA/GCC BE market</t>
        </is>
      </c>
      <c r="E42" s="213" t="inlineStr">
        <is>
          <t>✅ Realistic</t>
        </is>
      </c>
      <c r="F42" s="222" t="inlineStr">
        <is>
          <t>Based on actual financials. Lab capacity ramp is credible.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Theeb Alkahtani</dc:creator>
  <dcterms:created xmlns:dcterms="http://purl.org/dc/terms/" xmlns:xsi="http://www.w3.org/2001/XMLSchema-instance" xsi:type="dcterms:W3CDTF">2026-02-27T02:49:06Z</dcterms:created>
  <dcterms:modified xmlns:dcterms="http://purl.org/dc/terms/" xmlns:xsi="http://www.w3.org/2001/XMLSchema-instance" xsi:type="dcterms:W3CDTF">2026-02-28T02:57:59Z</dcterms:modified>
  <cp:lastModifiedBy>Theeb Alkahtani</cp:lastModifiedBy>
</cp:coreProperties>
</file>