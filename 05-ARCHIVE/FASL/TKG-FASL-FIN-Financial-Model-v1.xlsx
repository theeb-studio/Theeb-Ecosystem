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Assumptions" sheetId="2" state="visible" r:id="rId4"/>
    <sheet name="2. Revenue" sheetId="3" state="visible" r:id="rId5"/>
    <sheet name="3. P&amp;L" sheetId="4" state="visible" r:id="rId6"/>
    <sheet name="4. Unit Economics" sheetId="5" state="visible" r:id="rId7"/>
    <sheet name="5. Cash Flow" sheetId="6" state="visible" r:id="rId8"/>
    <sheet name="6. Cap Table" sheetId="7" state="visible" r:id="rId9"/>
    <sheet name="7. Valuation" sheetId="8" state="visible" r:id="rId10"/>
    <sheet name="8. Sensitivity" sheetId="9" state="visible" r:id="rId11"/>
    <sheet name="9. Intercompany" sheetId="10" state="visible" r:id="rId12"/>
    <sheet name="10. KPI Dashboard" sheetId="11" state="visible" r:id="rId13"/>
    <sheet name="11. Use of Proceed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<sst xmlns="http://schemas.openxmlformats.org/spreadsheetml/2006/main" count="454" uniqueCount="389">
  <si>
    <t xml:space="preserve">FASL (فصل) — Comprehensive Financial Model</t>
  </si>
  <si>
    <t xml:space="preserve">The Clinical Intelligence Platform for Saudi Arabia &amp; GCC</t>
  </si>
  <si>
    <t xml:space="preserve">FASL Financial Model v1.0 — March 2026</t>
  </si>
  <si>
    <t xml:space="preserve">TABLE OF CONTENTS</t>
  </si>
  <si>
    <t xml:space="preserve">Tab 1</t>
  </si>
  <si>
    <t xml:space="preserve">Assumptions &amp; Drivers</t>
  </si>
  <si>
    <t xml:space="preserve">All model inputs in one place</t>
  </si>
  <si>
    <t xml:space="preserve">Tab 2</t>
  </si>
  <si>
    <t xml:space="preserve">Revenue Model</t>
  </si>
  <si>
    <t xml:space="preserve">Bottom-up 6-stream revenue build</t>
  </si>
  <si>
    <t xml:space="preserve">Tab 3</t>
  </si>
  <si>
    <t xml:space="preserve">P&amp;L Statement</t>
  </si>
  <si>
    <t xml:space="preserve">Full income statement Years 1-10</t>
  </si>
  <si>
    <t xml:space="preserve">Tab 4</t>
  </si>
  <si>
    <t xml:space="preserve">Unit Economics</t>
  </si>
  <si>
    <t xml:space="preserve">ACV, CAC, LTV by segment</t>
  </si>
  <si>
    <t xml:space="preserve">Tab 5</t>
  </si>
  <si>
    <t xml:space="preserve">Cash Flow</t>
  </si>
  <si>
    <t xml:space="preserve">Operating, investing, financing flows</t>
  </si>
  <si>
    <t xml:space="preserve">Tab 6</t>
  </si>
  <si>
    <t xml:space="preserve">Cap Table</t>
  </si>
  <si>
    <t xml:space="preserve">3 rounds + ESOP dilution</t>
  </si>
  <si>
    <t xml:space="preserve">Tab 7</t>
  </si>
  <si>
    <t xml:space="preserve">Valuation</t>
  </si>
  <si>
    <t xml:space="preserve">4 exit scenarios with IRR/MOIC</t>
  </si>
  <si>
    <t xml:space="preserve">Tab 8</t>
  </si>
  <si>
    <t xml:space="preserve">Sensitivity</t>
  </si>
  <si>
    <t xml:space="preserve">Bear / Base / Bull scenarios</t>
  </si>
  <si>
    <t xml:space="preserve">Tab 9</t>
  </si>
  <si>
    <t xml:space="preserve">Intercompany</t>
  </si>
  <si>
    <t xml:space="preserve">Internal transfer pricing &amp; flows</t>
  </si>
  <si>
    <t xml:space="preserve">Tab 10</t>
  </si>
  <si>
    <t xml:space="preserve">KPI Dashboard</t>
  </si>
  <si>
    <t xml:space="preserve">Visual charts &amp; metrics</t>
  </si>
  <si>
    <t xml:space="preserve">Tab 11</t>
  </si>
  <si>
    <t xml:space="preserve">Use of Proceeds</t>
  </si>
  <si>
    <t xml:space="preserve">Capital deployment by round</t>
  </si>
  <si>
    <t xml:space="preserve">Currency: USD (toggle SAR × 3.75)</t>
  </si>
  <si>
    <t xml:space="preserve">Units: $M (millions) unless noted</t>
  </si>
  <si>
    <t xml:space="preserve">Projection Period: 10 years (Year 0 – Year 10)</t>
  </si>
  <si>
    <t xml:space="preserve">FASL FINANCIAL MODEL — KEY ASSUMPTIONS</t>
  </si>
  <si>
    <t xml:space="preserve">Assumption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</si>
  <si>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</si>
  <si>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</si>
  <si>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</si>
  <si>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</si>
  <si>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</si>
  <si>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</si>
  <si>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</si>
  <si>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</si>
  <si>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</si>
  <si>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</si>
  <si>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</si>
  <si>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Currency</t>
  </si>
  <si>
    <t xml:space="preserve">USD/SAR Exchange Rate</t>
  </si>
  <si>
    <t xml:space="preserve">Market Assumptions</t>
  </si>
  <si>
    <t xml:space="preserve">TAM — Saudi Healthcare Spend ($B)</t>
  </si>
  <si>
    <t xml:space="preserve">SAM — Clinical Intelligence ($B)</t>
  </si>
  <si>
    <t xml:space="preserve">Total Physicians KSA</t>
  </si>
  <si>
    <t xml:space="preserve">Total Physicians GCC</t>
  </si>
  <si>
    <t xml:space="preserve">Target Hospitals KSA</t>
  </si>
  <si>
    <t xml:space="preserve">Physician Adoption (Cumulative Users)</t>
  </si>
  <si>
    <t xml:space="preserve">Active Physicians on Platform</t>
  </si>
  <si>
    <t xml:space="preserve">Premium Conversion Rate</t>
  </si>
  <si>
    <t xml:space="preserve">Premium Physicians (calculated)</t>
  </si>
  <si>
    <t xml:space="preserve">Hospital Adoption</t>
  </si>
  <si>
    <t xml:space="preserve">Hospital Contracts (Cumulative)</t>
  </si>
  <si>
    <t xml:space="preserve">Enterprise Contracts (MOH-level)</t>
  </si>
  <si>
    <t xml:space="preserve">Pricing Assumptions (Annual)</t>
  </si>
  <si>
    <t xml:space="preserve">Individual Premium ($/yr)</t>
  </si>
  <si>
    <t xml:space="preserve">Hospital Avg ACV ($K/yr)</t>
  </si>
  <si>
    <t xml:space="preserve">Enterprise Avg ACV ($M/yr)</t>
  </si>
  <si>
    <t xml:space="preserve">BLS Course ($/participant)</t>
  </si>
  <si>
    <t xml:space="preserve">ACLS Course ($/participant)</t>
  </si>
  <si>
    <t xml:space="preserve">ATLS Course ($/participant)</t>
  </si>
  <si>
    <t xml:space="preserve">CME Subscription ($/yr)</t>
  </si>
  <si>
    <t xml:space="preserve">Institutional CME Contract ($/yr)</t>
  </si>
  <si>
    <t xml:space="preserve">Trial Site Mgmt Avg ($/site)</t>
  </si>
  <si>
    <t xml:space="preserve">Trial Data Mgmt Avg ($/patient)</t>
  </si>
  <si>
    <t xml:space="preserve">RWD License Avg ($/dataset)</t>
  </si>
  <si>
    <t xml:space="preserve">Registry Avg ($/yr)</t>
  </si>
  <si>
    <t xml:space="preserve">APC Avg ($/article)</t>
  </si>
  <si>
    <t xml:space="preserve">Systematic Review Avg ($)</t>
  </si>
  <si>
    <t xml:space="preserve">Guideline Dev Avg ($)</t>
  </si>
  <si>
    <t xml:space="preserve">Journal Sub Avg ($/yr)</t>
  </si>
  <si>
    <t xml:space="preserve">BE Study Avg ($)</t>
  </si>
  <si>
    <t xml:space="preserve">Regulatory Support Avg ($)</t>
  </si>
  <si>
    <t xml:space="preserve">Pharmacovigilance Avg ($/yr)</t>
  </si>
  <si>
    <t xml:space="preserve">API License Avg ($/yr)</t>
  </si>
  <si>
    <t xml:space="preserve">Custom Report Avg ($)</t>
  </si>
  <si>
    <t xml:space="preserve">Gov Partnership Avg ($/yr)</t>
  </si>
  <si>
    <t xml:space="preserve">Volume Assumptions (Annual)</t>
  </si>
  <si>
    <t xml:space="preserve">BLS Participants</t>
  </si>
  <si>
    <t xml:space="preserve">ACLS Participants</t>
  </si>
  <si>
    <t xml:space="preserve">ATLS Participants</t>
  </si>
  <si>
    <t xml:space="preserve">CME Subscribers</t>
  </si>
  <si>
    <t xml:space="preserve">Institutional CME Contracts</t>
  </si>
  <si>
    <t xml:space="preserve">Trial Sites (active)</t>
  </si>
  <si>
    <t xml:space="preserve">Trial Patients (annual)</t>
  </si>
  <si>
    <t xml:space="preserve">RWD Datasets Licensed</t>
  </si>
  <si>
    <t xml:space="preserve">Registries Managed</t>
  </si>
  <si>
    <t xml:space="preserve">Articles Published</t>
  </si>
  <si>
    <t xml:space="preserve">Systematic Reviews</t>
  </si>
  <si>
    <t xml:space="preserve">Guidelines Developed</t>
  </si>
  <si>
    <t xml:space="preserve">Journal Subscriptions</t>
  </si>
  <si>
    <t xml:space="preserve">BE Studies</t>
  </si>
  <si>
    <t xml:space="preserve">Regulatory Submissions</t>
  </si>
  <si>
    <t xml:space="preserve">Pharmacovigilance Drugs</t>
  </si>
  <si>
    <t xml:space="preserve">API Licensees</t>
  </si>
  <si>
    <t xml:space="preserve">Custom Reports</t>
  </si>
  <si>
    <t xml:space="preserve">Gov Data Partnerships</t>
  </si>
  <si>
    <t xml:space="preserve">Cost &amp; Headcount Assumptions</t>
  </si>
  <si>
    <t xml:space="preserve">Headcount (FTE)</t>
  </si>
  <si>
    <t xml:space="preserve">Avg Cost per FTE ($K)</t>
  </si>
  <si>
    <t xml:space="preserve">Cloud Infra (% of Revenue)</t>
  </si>
  <si>
    <t xml:space="preserve">S&amp;M (% of Revenue)</t>
  </si>
  <si>
    <t xml:space="preserve">Content Creation (% of Revenue)</t>
  </si>
  <si>
    <t xml:space="preserve">Regulatory &amp; Compliance ($M)</t>
  </si>
  <si>
    <t xml:space="preserve">G&amp;A (% of Revenue)</t>
  </si>
  <si>
    <t xml:space="preserve">Clinical Trial COGS (% of Trial Rev)</t>
  </si>
  <si>
    <t xml:space="preserve">BE COGS (% of BE Rev)</t>
  </si>
  <si>
    <t xml:space="preserve">Data License COGS (% of Data Rev)</t>
  </si>
  <si>
    <t xml:space="preserve">Retention &amp; Churn</t>
  </si>
  <si>
    <t xml:space="preserve">Individual Churn (%)</t>
  </si>
  <si>
    <t xml:space="preserve">Hospital Churn (%)</t>
  </si>
  <si>
    <t xml:space="preserve">Enterprise Churn (%)</t>
  </si>
  <si>
    <t xml:space="preserve">NRR Target (%)</t>
  </si>
  <si>
    <t xml:space="preserve">Funding Rounds</t>
  </si>
  <si>
    <t xml:space="preserve">Seed Amount ($M)</t>
  </si>
  <si>
    <t xml:space="preserve">Series A Amount ($M)</t>
  </si>
  <si>
    <t xml:space="preserve">Series B Amount ($M)</t>
  </si>
  <si>
    <t xml:space="preserve">Seed Pre-Money ($M)</t>
  </si>
  <si>
    <t xml:space="preserve">Series A Pre-Money ($M)</t>
  </si>
  <si>
    <t xml:space="preserve">Series B Pre-Money ($M)</t>
  </si>
  <si>
    <t xml:space="preserve">Tax &amp; Incentives</t>
  </si>
  <si>
    <t xml:space="preserve">Effective Tax Rate</t>
  </si>
  <si>
    <t xml:space="preserve">D&amp;A (% of Capex)</t>
  </si>
  <si>
    <t xml:space="preserve">REVENUE MODEL — 6 STREAMS ($M)</t>
  </si>
  <si>
    <t xml:space="preserve">Revenue Stream</t>
  </si>
  <si>
    <t xml:space="preserve">Stream 1 — SaaS Platform (SCII)</t>
  </si>
  <si>
    <t xml:space="preserve">Individual Premium Revenue</t>
  </si>
  <si>
    <t xml:space="preserve">Hospital Contracts Revenue</t>
  </si>
  <si>
    <t xml:space="preserve">Enterprise (MOH) Revenue</t>
  </si>
  <si>
    <t xml:space="preserve">STREAM 1 TOTAL — SaaS</t>
  </si>
  <si>
    <t xml:space="preserve">Stream 2 — Medical Education (NAMA Knowledge)</t>
  </si>
  <si>
    <t xml:space="preserve">BLS Revenue</t>
  </si>
  <si>
    <t xml:space="preserve">ACLS Revenue</t>
  </si>
  <si>
    <t xml:space="preserve">ATLS Revenue</t>
  </si>
  <si>
    <t xml:space="preserve">CME Subscription Revenue</t>
  </si>
  <si>
    <t xml:space="preserve">Institutional CME Revenue</t>
  </si>
  <si>
    <t xml:space="preserve">STREAM 2 TOTAL — CME</t>
  </si>
  <si>
    <t xml:space="preserve">Stream 3 — Clinical Trials (NAMA Medical)</t>
  </si>
  <si>
    <t xml:space="preserve">Site Management Revenue</t>
  </si>
  <si>
    <t xml:space="preserve">Data Management Revenue</t>
  </si>
  <si>
    <t xml:space="preserve">RWD Licensing Revenue</t>
  </si>
  <si>
    <t xml:space="preserve">Registry Services Revenue</t>
  </si>
  <si>
    <t xml:space="preserve">STREAM 3 TOTAL — Trials</t>
  </si>
  <si>
    <t xml:space="preserve">Stream 4 — Scientific Publishing (WARAQA)</t>
  </si>
  <si>
    <t xml:space="preserve">Article Processing Revenue</t>
  </si>
  <si>
    <t xml:space="preserve">Systematic Reviews Revenue</t>
  </si>
  <si>
    <t xml:space="preserve">Guideline Development Revenue</t>
  </si>
  <si>
    <t xml:space="preserve">Journal Subscriptions Revenue</t>
  </si>
  <si>
    <t xml:space="preserve">STREAM 4 TOTAL — Publishing</t>
  </si>
  <si>
    <t xml:space="preserve">Stream 5 — Bioequivalence (NAMA Bio)</t>
  </si>
  <si>
    <t xml:space="preserve">BE Studies Revenue</t>
  </si>
  <si>
    <t xml:space="preserve">Regulatory Support Revenue</t>
  </si>
  <si>
    <t xml:space="preserve">Pharmacovigilance Revenue</t>
  </si>
  <si>
    <t xml:space="preserve">STREAM 5 TOTAL — Bioequivalence</t>
  </si>
  <si>
    <t xml:space="preserve">Stream 6 — Data Licensing &amp; Analytics</t>
  </si>
  <si>
    <t xml:space="preserve">API Licensing Revenue</t>
  </si>
  <si>
    <t xml:space="preserve">Custom Reports Revenue</t>
  </si>
  <si>
    <t xml:space="preserve">Government Partnerships Revenue</t>
  </si>
  <si>
    <t xml:space="preserve">STREAM 6 TOTAL — Data Licensing</t>
  </si>
  <si>
    <t xml:space="preserve">CONSOLIDATED REVENUE</t>
  </si>
  <si>
    <t xml:space="preserve">TOTAL REVENUE ($M)</t>
  </si>
  <si>
    <t xml:space="preserve">YoY Revenue Growth (%)</t>
  </si>
  <si>
    <t xml:space="preserve">-</t>
  </si>
  <si>
    <t xml:space="preserve">REVENUE MIX (%)</t>
  </si>
  <si>
    <t xml:space="preserve">SaaS %</t>
  </si>
  <si>
    <t xml:space="preserve">CME %</t>
  </si>
  <si>
    <t xml:space="preserve">Clinical Trials %</t>
  </si>
  <si>
    <t xml:space="preserve">Publishing %</t>
  </si>
  <si>
    <t xml:space="preserve">Bioequivalence %</t>
  </si>
  <si>
    <t xml:space="preserve">Data Licensing %</t>
  </si>
  <si>
    <t xml:space="preserve">INCOME STATEMENT ($M)</t>
  </si>
  <si>
    <t xml:space="preserve">Total Revenue</t>
  </si>
  <si>
    <t xml:space="preserve">Cost of Revenue</t>
  </si>
  <si>
    <t xml:space="preserve">Personnel</t>
  </si>
  <si>
    <t xml:space="preserve">Technology Infrastructure</t>
  </si>
  <si>
    <t xml:space="preserve">Content Creation</t>
  </si>
  <si>
    <t xml:space="preserve">Sales &amp; Marketing</t>
  </si>
  <si>
    <t xml:space="preserve">Regulatory &amp; Compliance</t>
  </si>
  <si>
    <t xml:space="preserve">G&amp;A</t>
  </si>
  <si>
    <t xml:space="preserve">Clinical Trial COGS</t>
  </si>
  <si>
    <t xml:space="preserve">Bioequivalence COGS</t>
  </si>
  <si>
    <t xml:space="preserve">Data Licensing COGS</t>
  </si>
  <si>
    <t xml:space="preserve">TOTAL COGS</t>
  </si>
  <si>
    <t xml:space="preserve">GROSS PROFIT</t>
  </si>
  <si>
    <t xml:space="preserve">Gross Margin %</t>
  </si>
  <si>
    <t xml:space="preserve">EBITDA</t>
  </si>
  <si>
    <t xml:space="preserve">EBITDA Margin %</t>
  </si>
  <si>
    <t xml:space="preserve">Depreciation &amp; Amortization</t>
  </si>
  <si>
    <t xml:space="preserve">EBIT</t>
  </si>
  <si>
    <t xml:space="preserve">Income Tax</t>
  </si>
  <si>
    <t xml:space="preserve">NET INCOME</t>
  </si>
  <si>
    <t xml:space="preserve">Net Margin %</t>
  </si>
  <si>
    <t xml:space="preserve">UNIT ECONOMICS BY SEGMENT</t>
  </si>
  <si>
    <t xml:space="preserve">Segment</t>
  </si>
  <si>
    <t xml:space="preserve">ACV ($)</t>
  </si>
  <si>
    <t xml:space="preserve">CAC ($)</t>
  </si>
  <si>
    <t xml:space="preserve">LTV ($)</t>
  </si>
  <si>
    <t xml:space="preserve">LTV:CAC</t>
  </si>
  <si>
    <t xml:space="preserve">Payback (mo)</t>
  </si>
  <si>
    <t xml:space="preserve">Churn</t>
  </si>
  <si>
    <t xml:space="preserve">Individual Premium</t>
  </si>
  <si>
    <t xml:space="preserve">Hospital</t>
  </si>
  <si>
    <t xml:space="preserve">Enterprise (MOH)</t>
  </si>
  <si>
    <t xml:space="preserve">CME Courses (avg)</t>
  </si>
  <si>
    <t xml:space="preserve">Clinical Trials (avg)</t>
  </si>
  <si>
    <t xml:space="preserve">CAC BY ACQUISITION CHANNEL</t>
  </si>
  <si>
    <t xml:space="preserve">Channel</t>
  </si>
  <si>
    <t xml:space="preserve">Cost/Lead ($)</t>
  </si>
  <si>
    <t xml:space="preserve">Conv. Rate</t>
  </si>
  <si>
    <t xml:space="preserve">Scale Target</t>
  </si>
  <si>
    <t xml:space="preserve">Organic (SEO/Content)</t>
  </si>
  <si>
    <t xml:space="preserve">$2M/yr investment</t>
  </si>
  <si>
    <t xml:space="preserve">Physician Events</t>
  </si>
  <si>
    <t xml:space="preserve">40 events/yr</t>
  </si>
  <si>
    <t xml:space="preserve">Hospital Sales (Direct)</t>
  </si>
  <si>
    <t xml:space="preserve">8 reps/yr</t>
  </si>
  <si>
    <t xml:space="preserve">Digital Marketing (SEM)</t>
  </si>
  <si>
    <t xml:space="preserve">$1M/yr budget</t>
  </si>
  <si>
    <t xml:space="preserve">Partner Channel (SFDA)</t>
  </si>
  <si>
    <t xml:space="preserve">2-3 partnerships</t>
  </si>
  <si>
    <t xml:space="preserve">CASH FLOW STATEMENT ($M)</t>
  </si>
  <si>
    <t xml:space="preserve">Operating Cash Flow</t>
  </si>
  <si>
    <t xml:space="preserve">Net Income</t>
  </si>
  <si>
    <t xml:space="preserve">Add: D&amp;A</t>
  </si>
  <si>
    <t xml:space="preserve">Working Capital Changes</t>
  </si>
  <si>
    <t xml:space="preserve">OPERATING CASH FLOW</t>
  </si>
  <si>
    <t xml:space="preserve">Investing Cash Flow</t>
  </si>
  <si>
    <t xml:space="preserve">Capex (Technology Development)</t>
  </si>
  <si>
    <t xml:space="preserve">INVESTING CASH FLOW</t>
  </si>
  <si>
    <t xml:space="preserve">Financing Cash Flow</t>
  </si>
  <si>
    <t xml:space="preserve">Equity Raised</t>
  </si>
  <si>
    <t xml:space="preserve">FINANCING CASH FLOW</t>
  </si>
  <si>
    <t xml:space="preserve">NET CASH FLOW</t>
  </si>
  <si>
    <t xml:space="preserve">CUMULATIVE CASH BALANCE</t>
  </si>
  <si>
    <t xml:space="preserve">CAP TABLE &amp; DILUTION</t>
  </si>
  <si>
    <t xml:space="preserve">Shareholder</t>
  </si>
  <si>
    <t xml:space="preserve">Pre-Seed</t>
  </si>
  <si>
    <t xml:space="preserve">Post-Seed</t>
  </si>
  <si>
    <t xml:space="preserve">Post-Series A</t>
  </si>
  <si>
    <t xml:space="preserve">Post-Series B</t>
  </si>
  <si>
    <t xml:space="preserve">Founder</t>
  </si>
  <si>
    <t xml:space="preserve">ESOP</t>
  </si>
  <si>
    <t xml:space="preserve">Seed Investors</t>
  </si>
  <si>
    <t xml:space="preserve">Series A Investors</t>
  </si>
  <si>
    <t xml:space="preserve">Series B Investors</t>
  </si>
  <si>
    <t xml:space="preserve">TOTAL</t>
  </si>
  <si>
    <t xml:space="preserve">VALUATION SUMMARY</t>
  </si>
  <si>
    <t xml:space="preserve">Round</t>
  </si>
  <si>
    <t xml:space="preserve">Amount ($M)</t>
  </si>
  <si>
    <t xml:space="preserve">Pre-Money ($M)</t>
  </si>
  <si>
    <t xml:space="preserve">Post-Money ($M)</t>
  </si>
  <si>
    <t xml:space="preserve">Seed</t>
  </si>
  <si>
    <t xml:space="preserve">Series A</t>
  </si>
  <si>
    <t xml:space="preserve">Series B</t>
  </si>
  <si>
    <t xml:space="preserve">EXIT SCENARIOS &amp; INVESTOR RETURNS</t>
  </si>
  <si>
    <t xml:space="preserve">Scenario</t>
  </si>
  <si>
    <t xml:space="preserve">Revenue ($M)</t>
  </si>
  <si>
    <t xml:space="preserve">EV/Rev Multiple</t>
  </si>
  <si>
    <t xml:space="preserve">Exit Valuation ($M)</t>
  </si>
  <si>
    <t xml:space="preserve">Seed MOIC</t>
  </si>
  <si>
    <t xml:space="preserve">Scenario 1 — IPO (Tadawul, Year 7-8)</t>
  </si>
  <si>
    <t xml:space="preserve">8-12x</t>
  </si>
  <si>
    <t xml:space="preserve">Scenario 2 — Strategic Acquisition (Year 5-6)</t>
  </si>
  <si>
    <t xml:space="preserve">5-8x</t>
  </si>
  <si>
    <t xml:space="preserve">Scenario 3 — Sovereign Wealth (Year 4-5)</t>
  </si>
  <si>
    <t xml:space="preserve">3-5x</t>
  </si>
  <si>
    <t xml:space="preserve">Scenario 4 — Independent Growth (Year 10)</t>
  </si>
  <si>
    <t xml:space="preserve">12-20x</t>
  </si>
  <si>
    <t xml:space="preserve">COMPARABLE COMPANY MULTIPLES</t>
  </si>
  <si>
    <t xml:space="preserve">Category</t>
  </si>
  <si>
    <t xml:space="preserve">Low</t>
  </si>
  <si>
    <t xml:space="preserve">High</t>
  </si>
  <si>
    <t xml:space="preserve">Median</t>
  </si>
  <si>
    <t xml:space="preserve">Infrastructure Companies (EV/Rev)</t>
  </si>
  <si>
    <t xml:space="preserve">SaaS Companies (EV/Rev)</t>
  </si>
  <si>
    <t xml:space="preserve">Healthcare Data (EV/Rev)</t>
  </si>
  <si>
    <t xml:space="preserve">Clinical Trials CROs (EV/Rev)</t>
  </si>
  <si>
    <t xml:space="preserve">SCENARIO ANALYSIS — YEAR 5</t>
  </si>
  <si>
    <t xml:space="preserve">Metric</t>
  </si>
  <si>
    <t xml:space="preserve">Bear Case</t>
  </si>
  <si>
    <t xml:space="preserve">Base Case</t>
  </si>
  <si>
    <t xml:space="preserve">Bull Case</t>
  </si>
  <si>
    <t xml:space="preserve">Gross Margin (%)</t>
  </si>
  <si>
    <t xml:space="preserve">Gross Profit ($M)</t>
  </si>
  <si>
    <t xml:space="preserve">EBITDA ($M)</t>
  </si>
  <si>
    <t xml:space="preserve">Physician Adoption</t>
  </si>
  <si>
    <t xml:space="preserve">Hospital Contracts</t>
  </si>
  <si>
    <t xml:space="preserve">Valuation ($M) @ 12.5x Rev</t>
  </si>
  <si>
    <t xml:space="preserve">SENSITIVITY: HOSPITAL ACV IMPACT ON YEAR 5</t>
  </si>
  <si>
    <t xml:space="preserve">Hospital ACV ($K)</t>
  </si>
  <si>
    <t xml:space="preserve">Hospital Rev ($M)</t>
  </si>
  <si>
    <t xml:space="preserve">Total Rev Impact</t>
  </si>
  <si>
    <t xml:space="preserve">$75K</t>
  </si>
  <si>
    <t xml:space="preserve">$100K</t>
  </si>
  <si>
    <t xml:space="preserve">$125K</t>
  </si>
  <si>
    <t xml:space="preserve">$150K</t>
  </si>
  <si>
    <t xml:space="preserve">$175K</t>
  </si>
  <si>
    <t xml:space="preserve">$200K</t>
  </si>
  <si>
    <t xml:space="preserve">$250K</t>
  </si>
  <si>
    <t xml:space="preserve">INTERCOMPANY ECONOMICS (YEAR 5)</t>
  </si>
  <si>
    <t xml:space="preserve">Internal Transfer Pricing to SCII</t>
  </si>
  <si>
    <t xml:space="preserve">Entity</t>
  </si>
  <si>
    <t xml:space="preserve">Units</t>
  </si>
  <si>
    <t xml:space="preserve">$/Unit</t>
  </si>
  <si>
    <t xml:space="preserve">Annual ($K)</t>
  </si>
  <si>
    <t xml:space="preserve">NAMA Medical (active trials)</t>
  </si>
  <si>
    <t xml:space="preserve">NAMA Bio (studies)</t>
  </si>
  <si>
    <t xml:space="preserve">WARAQA (indexing)</t>
  </si>
  <si>
    <t xml:space="preserve">NAMA Knowledge (CME delivery)</t>
  </si>
  <si>
    <t xml:space="preserve">TOTAL INTERNAL REVENUE TO SCII</t>
  </si>
  <si>
    <t xml:space="preserve">External vs. Internal Revenue (Year 5)</t>
  </si>
  <si>
    <t xml:space="preserve">External ($M)</t>
  </si>
  <si>
    <t xml:space="preserve">Internal ($M)</t>
  </si>
  <si>
    <t xml:space="preserve">Total ($M)</t>
  </si>
  <si>
    <t xml:space="preserve">Internal %</t>
  </si>
  <si>
    <t xml:space="preserve">SCII Platform</t>
  </si>
  <si>
    <t xml:space="preserve">NAMA Knowledge</t>
  </si>
  <si>
    <t xml:space="preserve">NAMA Medical</t>
  </si>
  <si>
    <t xml:space="preserve">NAMA Bio</t>
  </si>
  <si>
    <t xml:space="preserve">WARAQA</t>
  </si>
  <si>
    <t xml:space="preserve">Shared Services Savings (Year 5)</t>
  </si>
  <si>
    <t xml:space="preserve">Function</t>
  </si>
  <si>
    <t xml:space="preserve">Standalone ($K/entity)</t>
  </si>
  <si>
    <t xml:space="preserve">Shared ($K)</t>
  </si>
  <si>
    <t xml:space="preserve">Savings ($K/yr)</t>
  </si>
  <si>
    <t xml:space="preserve">Finance &amp; Accounting</t>
  </si>
  <si>
    <t xml:space="preserve">HR &amp; Recruiting</t>
  </si>
  <si>
    <t xml:space="preserve">Legal &amp; Compliance</t>
  </si>
  <si>
    <t xml:space="preserve">IT Infrastructure</t>
  </si>
  <si>
    <t xml:space="preserve">TOTAL SAVINGS</t>
  </si>
  <si>
    <t xml:space="preserve">KEY PERFORMANCE INDICATORS</t>
  </si>
  <si>
    <t xml:space="preserve">Net Income ($M)</t>
  </si>
  <si>
    <t xml:space="preserve">Cash Balance ($M)</t>
  </si>
  <si>
    <t xml:space="preserve">Rev/Employee ($K)</t>
  </si>
  <si>
    <t xml:space="preserve">Physicians</t>
  </si>
  <si>
    <t xml:space="preserve">SaaS</t>
  </si>
  <si>
    <t xml:space="preserve">CME</t>
  </si>
  <si>
    <t xml:space="preserve">Trials</t>
  </si>
  <si>
    <t xml:space="preserve">Publishing</t>
  </si>
  <si>
    <t xml:space="preserve">Bioequivalence</t>
  </si>
  <si>
    <t xml:space="preserve">Data Licensing</t>
  </si>
  <si>
    <t xml:space="preserve">USE OF PROCEEDS BY ROUND</t>
  </si>
  <si>
    <t xml:space="preserve">SEED ROUND — $4M (SAR 15M)</t>
  </si>
  <si>
    <t xml:space="preserve">% Allocation</t>
  </si>
  <si>
    <t xml:space="preserve">Description</t>
  </si>
  <si>
    <t xml:space="preserve">Technology MVP</t>
  </si>
  <si>
    <t xml:space="preserve">Evidence engine, KG v1, CME integration</t>
  </si>
  <si>
    <t xml:space="preserve">Core Team Hiring</t>
  </si>
  <si>
    <t xml:space="preserve">CTO, VP Eng, 6 engineers, Medical Dir</t>
  </si>
  <si>
    <t xml:space="preserve">Institute Integration</t>
  </si>
  <si>
    <t xml:space="preserve">Infra, onboarding systems</t>
  </si>
  <si>
    <t xml:space="preserve">Ops &amp; Legal</t>
  </si>
  <si>
    <t xml:space="preserve">Office, licensing, compliance</t>
  </si>
  <si>
    <t xml:space="preserve">SERIES A — $13M (SAR 50M)</t>
  </si>
  <si>
    <t xml:space="preserve">Product Expansion</t>
  </si>
  <si>
    <t xml:space="preserve">CTMS, RWD platform, Arabic AI v1</t>
  </si>
  <si>
    <t xml:space="preserve">Clinical Trials Infra</t>
  </si>
  <si>
    <t xml:space="preserve">NAMA Medical setup, site network</t>
  </si>
  <si>
    <t xml:space="preserve">Publishing Platform</t>
  </si>
  <si>
    <t xml:space="preserve">WARAQA journal, review tools</t>
  </si>
  <si>
    <t xml:space="preserve">Market Expansion</t>
  </si>
  <si>
    <t xml:space="preserve">Enterprise sales, pharma BD</t>
  </si>
  <si>
    <t xml:space="preserve">Operations</t>
  </si>
  <si>
    <t xml:space="preserve">Scaling shared services</t>
  </si>
  <si>
    <t xml:space="preserve">SERIES B — $40M (SAR 150M)</t>
  </si>
  <si>
    <t xml:space="preserve">GCC Expansion</t>
  </si>
  <si>
    <t xml:space="preserve">UAE, Kuwait offices, regulatory, local teams</t>
  </si>
  <si>
    <t xml:space="preserve">NAMA Bio Center</t>
  </si>
  <si>
    <t xml:space="preserve">Lab, equipment, SFDA certification</t>
  </si>
  <si>
    <t xml:space="preserve">Technology at Scale</t>
  </si>
  <si>
    <t xml:space="preserve">Sovereign cloud, AI training, KG expansion</t>
  </si>
  <si>
    <t xml:space="preserve">Government Contracts</t>
  </si>
  <si>
    <t xml:space="preserve">MOH, SCFHS, SFDA implementations</t>
  </si>
  <si>
    <t xml:space="preserve">Strategic Reserve</t>
  </si>
  <si>
    <t xml:space="preserve">M&amp;A, contingency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</si>
</sst>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"/>
    <numFmt numFmtId="167" formatCode="0.0"/>
    <numFmt numFmtId="168" formatCode="#,##0;\(#,##0\);\-"/>
    <numFmt numFmtId="169" formatCode="0.0%"/>
    <numFmt numFmtId="170" formatCode="#,##0.0;\(#,##0.0\);\-"/>
    <numFmt numFmtId="171" formatCode="0.0\x"/>
    <numFmt numFmtId="172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D2137"/>
      <name val="Arial"/>
      <family val="0"/>
      <charset val="1"/>
    </font>
    <font>
      <sz val="14"/>
      <color rgb="FF1B6B93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0D2137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1B6B9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F4F8"/>
        <bgColor rgb="FFF9F9F9"/>
      </patternFill>
    </fill>
    <fill>
      <patternFill patternType="solid">
        <fgColor rgb="FF0D2137"/>
        <bgColor rgb="FF003300"/>
      </patternFill>
    </fill>
    <fill>
      <patternFill patternType="solid">
        <fgColor rgb="FFDAEEF7"/>
        <bgColor rgb="FFED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B6B93"/>
      <rgbColor rgb="FFC0C0C0"/>
      <rgbColor rgb="FF878787"/>
      <rgbColor rgb="FF9999FF"/>
      <rgbColor rgb="FFC0504D"/>
      <rgbColor rgb="FFF9F9F9"/>
      <rgbColor rgb="FFDAEE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8"/>
      <rgbColor rgb="FFCCFFCC"/>
      <rgbColor rgb="FFFFFF99"/>
      <rgbColor rgb="FF99CCFF"/>
      <rgbColor rgb="FFFF99CC"/>
      <rgbColor rgb="FFCC99FF"/>
      <rgbColor rgb="FFFFCC99"/>
      <rgbColor rgb="FF4A7EBB"/>
      <rgbColor rgb="FF2EC4B6"/>
      <rgbColor rgb="FF9BBB59"/>
      <rgbColor rgb="FFFFCC00"/>
      <rgbColor rgb="FFF79646"/>
      <rgbColor rgb="FFFF6600"/>
      <rgbColor rgb="FF8064A2"/>
      <rgbColor rgb="FF4F81BD"/>
      <rgbColor rgb="FF0D2137"/>
      <rgbColor rgb="FF4BACC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Revenue by Stream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"SaaS"</c:f>
              <c:strCache>
                <c:ptCount val="1"/>
                <c:pt idx="0">
                  <c:v>SaaS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Dashboard'!$B$10:$L$10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0.45</c:v>
                </c:pt>
                <c:pt idx="2">
                  <c:v>2.109</c:v>
                </c:pt>
                <c:pt idx="3">
                  <c:v>8.4726</c:v>
                </c:pt>
                <c:pt idx="4">
                  <c:v>13.545</c:v>
                </c:pt>
                <c:pt idx="5">
                  <c:v>27.1248</c:v>
                </c:pt>
                <c:pt idx="6">
                  <c:v>30.96</c:v>
                </c:pt>
                <c:pt idx="7">
                  <c:v>39.0168</c:v>
                </c:pt>
                <c:pt idx="8">
                  <c:v>43.2696</c:v>
                </c:pt>
                <c:pt idx="9">
                  <c:v>49.7724</c:v>
                </c:pt>
                <c:pt idx="10">
                  <c:v>57.528</c:v>
                </c:pt>
              </c:numCache>
            </c:numRef>
          </c:val>
        </c:ser>
        <c:ser>
          <c:idx val="1"/>
          <c:order val="1"/>
          <c:tx>
            <c:strRef>
              <c:f>"CME"</c:f>
              <c:strCache>
                <c:ptCount val="1"/>
                <c:pt idx="0">
                  <c:v>CME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Dashboard'!$B$11:$L$11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5.395</c:v>
                </c:pt>
                <c:pt idx="2">
                  <c:v>7.602</c:v>
                </c:pt>
                <c:pt idx="3">
                  <c:v>9.405</c:v>
                </c:pt>
                <c:pt idx="4">
                  <c:v>10.122</c:v>
                </c:pt>
                <c:pt idx="5">
                  <c:v>10.72</c:v>
                </c:pt>
                <c:pt idx="6">
                  <c:v>12.287</c:v>
                </c:pt>
                <c:pt idx="7">
                  <c:v>13.755</c:v>
                </c:pt>
                <c:pt idx="8">
                  <c:v>15.223</c:v>
                </c:pt>
                <c:pt idx="9">
                  <c:v>16.79</c:v>
                </c:pt>
                <c:pt idx="10">
                  <c:v>18.555</c:v>
                </c:pt>
              </c:numCache>
            </c:numRef>
          </c:val>
        </c:ser>
        <c:ser>
          <c:idx val="2"/>
          <c:order val="2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Dashboard'!$B$12:$L$12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</c:v>
                </c:pt>
                <c:pt idx="4">
                  <c:v>9.45</c:v>
                </c:pt>
                <c:pt idx="5">
                  <c:v>12.4</c:v>
                </c:pt>
                <c:pt idx="6">
                  <c:v>17.1</c:v>
                </c:pt>
                <c:pt idx="7">
                  <c:v>21.3</c:v>
                </c:pt>
                <c:pt idx="8">
                  <c:v>24.5</c:v>
                </c:pt>
                <c:pt idx="9">
                  <c:v>27.7</c:v>
                </c:pt>
                <c:pt idx="10">
                  <c:v>30.9</c:v>
                </c:pt>
              </c:numCache>
            </c:numRef>
          </c:val>
        </c:ser>
        <c:ser>
          <c:idx val="3"/>
          <c:order val="3"/>
          <c:tx>
            <c:strRef>
              <c:f>"Publishing"</c:f>
              <c:strCache>
                <c:ptCount val="1"/>
                <c:pt idx="0">
                  <c:v>Publishing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Dashboard'!$B$13:$L$13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0.87</c:v>
                </c:pt>
                <c:pt idx="3">
                  <c:v>2.06</c:v>
                </c:pt>
                <c:pt idx="4">
                  <c:v>2.63</c:v>
                </c:pt>
                <c:pt idx="5">
                  <c:v>3</c:v>
                </c:pt>
                <c:pt idx="6">
                  <c:v>3.57</c:v>
                </c:pt>
                <c:pt idx="7">
                  <c:v>4.14</c:v>
                </c:pt>
                <c:pt idx="8">
                  <c:v>4.71</c:v>
                </c:pt>
                <c:pt idx="9">
                  <c:v>5.28</c:v>
                </c:pt>
                <c:pt idx="10">
                  <c:v>5.85</c:v>
                </c:pt>
              </c:numCache>
            </c:numRef>
          </c:val>
        </c:ser>
        <c:ser>
          <c:idx val="4"/>
          <c:order val="4"/>
          <c:tx>
            <c:strRef>
              <c:f>"Bioequivalence"</c:f>
              <c:strCache>
                <c:ptCount val="1"/>
                <c:pt idx="0">
                  <c:v>Bioequivalence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Dashboard'!$B$14:$L$14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</c:v>
                </c:pt>
                <c:pt idx="5">
                  <c:v>11.4</c:v>
                </c:pt>
                <c:pt idx="6">
                  <c:v>14</c:v>
                </c:pt>
                <c:pt idx="7">
                  <c:v>16.6</c:v>
                </c:pt>
                <c:pt idx="8">
                  <c:v>19.2</c:v>
                </c:pt>
                <c:pt idx="9">
                  <c:v>21.8</c:v>
                </c:pt>
                <c:pt idx="10">
                  <c:v>24.4</c:v>
                </c:pt>
              </c:numCache>
            </c:numRef>
          </c:val>
        </c:ser>
        <c:ser>
          <c:idx val="5"/>
          <c:order val="5"/>
          <c:tx>
            <c:strRef>
              <c:f>"Data Licensing"</c:f>
              <c:strCache>
                <c:ptCount val="1"/>
                <c:pt idx="0">
                  <c:v>Data Licensing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Dashboard'!$B$15:$L$15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5.05</c:v>
                </c:pt>
                <c:pt idx="5">
                  <c:v>9</c:v>
                </c:pt>
                <c:pt idx="6">
                  <c:v>10.95</c:v>
                </c:pt>
                <c:pt idx="7">
                  <c:v>14.9</c:v>
                </c:pt>
                <c:pt idx="8">
                  <c:v>16.85</c:v>
                </c:pt>
                <c:pt idx="9">
                  <c:v>20.8</c:v>
                </c:pt>
                <c:pt idx="10">
                  <c:v>22.75</c:v>
                </c:pt>
              </c:numCache>
            </c:numRef>
          </c:val>
        </c:ser>
        <c:gapWidth val="150"/>
        <c:overlap val="100"/>
        <c:axId val="61918243"/>
        <c:axId val="89833734"/>
      </c:barChart>
      <c:catAx>
        <c:axId val="619182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833734"/>
        <c:crosses val="autoZero"/>
        <c:auto val="1"/>
        <c:lblAlgn val="ctr"/>
        <c:lblOffset val="100"/>
        <c:noMultiLvlLbl val="0"/>
      </c:catAx>
      <c:valAx>
        <c:axId val="898337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91824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Gross Margin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"Gross Margin %"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Dashboard'!$B$4:$L$4</c:f>
              <c:numCache>
                <c:formatCode>0.0%</c:formatCode>
                <c:ptCount val="11"/>
                <c:pt idx="0">
                  <c:v>0</c:v>
                </c:pt>
                <c:pt idx="1">
                  <c:v>0.362044482463644</c:v>
                </c:pt>
                <c:pt idx="2">
                  <c:v>0.456472923164162</c:v>
                </c:pt>
                <c:pt idx="3">
                  <c:v>0.462213750536357</c:v>
                </c:pt>
                <c:pt idx="4">
                  <c:v>0.501720653290563</c:v>
                </c:pt>
                <c:pt idx="5">
                  <c:v>0.566932519336056</c:v>
                </c:pt>
                <c:pt idx="6">
                  <c:v>0.576675818920409</c:v>
                </c:pt>
                <c:pt idx="7">
                  <c:v>0.610402746103883</c:v>
                </c:pt>
                <c:pt idx="8">
                  <c:v>0.621747050162987</c:v>
                </c:pt>
                <c:pt idx="9">
                  <c:v>0.628895642679454</c:v>
                </c:pt>
                <c:pt idx="10">
                  <c:v>0.635722983066951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654029"/>
        <c:axId val="81786688"/>
      </c:lineChart>
      <c:catAx>
        <c:axId val="67654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786688"/>
        <c:crosses val="autoZero"/>
        <c:auto val="1"/>
        <c:lblAlgn val="ctr"/>
        <c:lblOffset val="100"/>
        <c:noMultiLvlLbl val="0"/>
      </c:catAx>
      <c:valAx>
        <c:axId val="81786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6540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Cash Balance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"Cash Balance"</c:f>
              <c:strCache>
                <c:ptCount val="1"/>
                <c:pt idx="0">
                  <c:v>Cash Balance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Dashboard'!$B$6:$L$6</c:f>
              <c:numCache>
                <c:formatCode>#,##0.0;\(#,##0.0\);\-</c:formatCode>
                <c:ptCount val="11"/>
                <c:pt idx="0">
                  <c:v>0</c:v>
                </c:pt>
                <c:pt idx="1">
                  <c:v>5.11615</c:v>
                </c:pt>
                <c:pt idx="2">
                  <c:v>21.20929</c:v>
                </c:pt>
                <c:pt idx="3">
                  <c:v>28.729412</c:v>
                </c:pt>
                <c:pt idx="4">
                  <c:v>87.487012</c:v>
                </c:pt>
                <c:pt idx="5">
                  <c:v>122.941254</c:v>
                </c:pt>
                <c:pt idx="6">
                  <c:v>164.88388357</c:v>
                </c:pt>
                <c:pt idx="7">
                  <c:v>217.159268126</c:v>
                </c:pt>
                <c:pt idx="8">
                  <c:v>273.923590141</c:v>
                </c:pt>
                <c:pt idx="9">
                  <c:v>335.617788621</c:v>
                </c:pt>
                <c:pt idx="10">
                  <c:v>406.201642721</c:v>
                </c:pt>
              </c:numCache>
            </c:numRef>
          </c:val>
        </c:ser>
        <c:gapWidth val="150"/>
        <c:overlap val="0"/>
        <c:axId val="21564257"/>
        <c:axId val="70692259"/>
      </c:barChart>
      <c:catAx>
        <c:axId val="21564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692259"/>
        <c:crosses val="autoZero"/>
        <c:auto val="1"/>
        <c:lblAlgn val="ctr"/>
        <c:lblOffset val="100"/>
        <c:noMultiLvlLbl val="0"/>
      </c:catAx>
      <c:valAx>
        <c:axId val="706922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$M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5642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Physician Adoption 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"Physicians on Platform"</c:f>
              <c:strCache>
                <c:ptCount val="1"/>
                <c:pt idx="0">
                  <c:v>Physicians on Platform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'10. KPI Dashboard'!$B$2:$L$2</c:f>
              <c:multiLvlStrCache>
                <c:ptCount val="1"/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  <c:lvl>
                  <c:pt idx="0">
                    <c:v>Year 0</c:v>
                  </c:pt>
                </c:lvl>
              </c:multiLvlStrCache>
            </c:multiLvlStrRef>
          </c:cat>
          <c:val>
            <c:numRef>
              <c:f>'10. KPI Dashboard'!$B$9:$L$9</c:f>
              <c:numCache>
                <c:formatCode>#,##0;\(#,##0\);\-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5000</c:v>
                </c:pt>
                <c:pt idx="3">
                  <c:v>15000</c:v>
                </c:pt>
                <c:pt idx="4">
                  <c:v>35000</c:v>
                </c:pt>
                <c:pt idx="5">
                  <c:v>80000</c:v>
                </c:pt>
                <c:pt idx="6">
                  <c:v>100000</c:v>
                </c:pt>
                <c:pt idx="7">
                  <c:v>120000</c:v>
                </c:pt>
                <c:pt idx="8">
                  <c:v>140000</c:v>
                </c:pt>
                <c:pt idx="9">
                  <c:v>160000</c:v>
                </c:pt>
                <c:pt idx="10">
                  <c:v>200000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751102"/>
        <c:axId val="39691298"/>
      </c:lineChart>
      <c:catAx>
        <c:axId val="367511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691298"/>
        <c:crosses val="autoZero"/>
        <c:auto val="1"/>
        <c:lblAlgn val="ctr"/>
        <c:lblOffset val="100"/>
        <c:noMultiLvlLbl val="0"/>
      </c:catAx>
      <c:valAx>
        <c:axId val="396912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Physicians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7511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9</xdr:col>
      <xdr:colOff>775440</xdr:colOff>
      <xdr:row>47</xdr:row>
      <xdr:rowOff>44640</xdr:rowOff>
    </xdr:to>
    <xdr:graphicFrame>
      <xdr:nvGraphicFramePr>
        <xdr:cNvPr id="0" name="Chart 1"/>
        <xdr:cNvGraphicFramePr/>
      </xdr:nvGraphicFramePr>
      <xdr:xfrm>
        <a:off x="0" y="323856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775440</xdr:colOff>
      <xdr:row>61</xdr:row>
      <xdr:rowOff>86760</xdr:rowOff>
    </xdr:to>
    <xdr:graphicFrame>
      <xdr:nvGraphicFramePr>
        <xdr:cNvPr id="1" name="Chart 2"/>
        <xdr:cNvGraphicFramePr/>
      </xdr:nvGraphicFramePr>
      <xdr:xfrm>
        <a:off x="0" y="666756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9</xdr:col>
      <xdr:colOff>775440</xdr:colOff>
      <xdr:row>77</xdr:row>
      <xdr:rowOff>86760</xdr:rowOff>
    </xdr:to>
    <xdr:graphicFrame>
      <xdr:nvGraphicFramePr>
        <xdr:cNvPr id="2" name="Chart 3"/>
        <xdr:cNvGraphicFramePr/>
      </xdr:nvGraphicFramePr>
      <xdr:xfrm>
        <a:off x="0" y="97156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775440</xdr:colOff>
      <xdr:row>93</xdr:row>
      <xdr:rowOff>86400</xdr:rowOff>
    </xdr:to>
    <xdr:graphicFrame>
      <xdr:nvGraphicFramePr>
        <xdr:cNvPr id="3" name="Chart 4"/>
        <xdr:cNvGraphicFramePr/>
      </xdr:nvGraphicFramePr>
      <xdr:xfrm>
        <a:off x="0" y="12763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B3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5"/>
    <col collapsed="false" customWidth="true" hidden="false" outlineLevel="0" max="5" min="5" style="0" width="45"/>
    <col collapsed="false" customWidth="true" hidden="false" outlineLevel="0" max="7" min="6" style="0" width="5"/>
  </cols>
  <sheetData>
    <row r="3" customFormat="false" ht="15" hidden="false" customHeight="true" outlineLevel="0" collapsed="false">
      <c r="B3" s="1" t="s">
        <v>0</v>
      </c>
      <c r="C3" s="1"/>
      <c r="D3" s="1"/>
      <c r="E3" s="1"/>
      <c r="F3" s="1"/>
      <c r="G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</row>
    <row r="5" customFormat="false" ht="15" hidden="false" customHeight="false" outlineLevel="0" collapsed="false">
      <c r="B5" s="1"/>
      <c r="C5" s="1"/>
      <c r="D5" s="1"/>
      <c r="E5" s="1"/>
      <c r="F5" s="1"/>
      <c r="G5" s="1"/>
    </row>
    <row r="7" customFormat="false" ht="17.35" hidden="false" customHeight="true" outlineLevel="0" collapsed="false">
      <c r="B7" s="2" t="s">
        <v>1</v>
      </c>
      <c r="C7" s="2"/>
      <c r="D7" s="2"/>
      <c r="E7" s="2"/>
      <c r="F7" s="2"/>
      <c r="G7" s="2"/>
    </row>
    <row r="9" customFormat="false" ht="15" hidden="false" customHeight="true" outlineLevel="0" collapsed="false">
      <c r="B9" s="3" t="s">
        <v>2</v>
      </c>
      <c r="C9" s="3"/>
      <c r="D9" s="3"/>
      <c r="E9" s="3"/>
      <c r="F9" s="3"/>
      <c r="G9" s="3"/>
    </row>
    <row r="12" customFormat="false" ht="15" hidden="false" customHeight="false" outlineLevel="0" collapsed="false">
      <c r="B12" s="4" t="s">
        <v>3</v>
      </c>
    </row>
    <row r="13" customFormat="false" ht="15" hidden="false" customHeight="false" outlineLevel="0" collapsed="false">
      <c r="B13" s="5" t="s">
        <v>4</v>
      </c>
      <c r="C13" s="6" t="s">
        <v>5</v>
      </c>
      <c r="E13" s="7" t="s">
        <v>6</v>
      </c>
    </row>
    <row r="14" customFormat="false" ht="15" hidden="false" customHeight="false" outlineLevel="0" collapsed="false">
      <c r="B14" s="5" t="s">
        <v>7</v>
      </c>
      <c r="C14" s="6" t="s">
        <v>8</v>
      </c>
      <c r="E14" s="7" t="s">
        <v>9</v>
      </c>
    </row>
    <row r="15" customFormat="false" ht="15" hidden="false" customHeight="false" outlineLevel="0" collapsed="false">
      <c r="B15" s="5" t="s">
        <v>10</v>
      </c>
      <c r="C15" s="6" t="s">
        <v>11</v>
      </c>
      <c r="E15" s="7" t="s">
        <v>12</v>
      </c>
    </row>
    <row r="16" customFormat="false" ht="15" hidden="false" customHeight="false" outlineLevel="0" collapsed="false">
      <c r="B16" s="5" t="s">
        <v>13</v>
      </c>
      <c r="C16" s="6" t="s">
        <v>14</v>
      </c>
      <c r="E16" s="7" t="s">
        <v>15</v>
      </c>
    </row>
    <row r="17" customFormat="false" ht="15" hidden="false" customHeight="false" outlineLevel="0" collapsed="false">
      <c r="B17" s="5" t="s">
        <v>16</v>
      </c>
      <c r="C17" s="6" t="s">
        <v>17</v>
      </c>
      <c r="E17" s="7" t="s">
        <v>18</v>
      </c>
    </row>
    <row r="18" customFormat="false" ht="15" hidden="false" customHeight="false" outlineLevel="0" collapsed="false">
      <c r="B18" s="5" t="s">
        <v>19</v>
      </c>
      <c r="C18" s="6" t="s">
        <v>20</v>
      </c>
      <c r="E18" s="7" t="s">
        <v>21</v>
      </c>
    </row>
    <row r="19" customFormat="false" ht="15" hidden="false" customHeight="false" outlineLevel="0" collapsed="false">
      <c r="B19" s="5" t="s">
        <v>22</v>
      </c>
      <c r="C19" s="6" t="s">
        <v>23</v>
      </c>
      <c r="E19" s="7" t="s">
        <v>24</v>
      </c>
    </row>
    <row r="20" customFormat="false" ht="15" hidden="false" customHeight="false" outlineLevel="0" collapsed="false">
      <c r="B20" s="5" t="s">
        <v>25</v>
      </c>
      <c r="C20" s="6" t="s">
        <v>26</v>
      </c>
      <c r="E20" s="7" t="s">
        <v>27</v>
      </c>
    </row>
    <row r="21" customFormat="false" ht="15" hidden="false" customHeight="false" outlineLevel="0" collapsed="false">
      <c r="B21" s="5" t="s">
        <v>28</v>
      </c>
      <c r="C21" s="6" t="s">
        <v>29</v>
      </c>
      <c r="E21" s="7" t="s">
        <v>30</v>
      </c>
    </row>
    <row r="22" customFormat="false" ht="15" hidden="false" customHeight="false" outlineLevel="0" collapsed="false">
      <c r="B22" s="5" t="s">
        <v>31</v>
      </c>
      <c r="C22" s="6" t="s">
        <v>32</v>
      </c>
      <c r="E22" s="7" t="s">
        <v>33</v>
      </c>
    </row>
    <row r="23" customFormat="false" ht="15" hidden="false" customHeight="false" outlineLevel="0" collapsed="false">
      <c r="B23" s="5" t="s">
        <v>34</v>
      </c>
      <c r="C23" s="6" t="s">
        <v>35</v>
      </c>
      <c r="E23" s="7" t="s">
        <v>36</v>
      </c>
    </row>
    <row r="26" customFormat="false" ht="15" hidden="false" customHeight="false" outlineLevel="0" collapsed="false">
      <c r="B26" s="7" t="s">
        <v>37</v>
      </c>
    </row>
    <row r="27" customFormat="false" ht="15" hidden="false" customHeight="false" outlineLevel="0" collapsed="false">
      <c r="B27" s="7" t="s">
        <v>38</v>
      </c>
    </row>
    <row r="28" customFormat="false" ht="15" hidden="false" customHeight="false" outlineLevel="0" collapsed="false">
      <c r="B28" s="7" t="s">
        <v>39</v>
      </c>
    </row>
  </sheetData>
  <mergeCells count="3">
    <mergeCell ref="B3:G5"/>
    <mergeCell ref="B7:G7"/>
    <mergeCell ref="B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93"/>
    <pageSetUpPr fitToPage="false"/>
  </sheetPr>
  <dimension ref="A1:L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8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10" t="s">
        <v>41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51</v>
      </c>
      <c r="L2" s="10" t="s">
        <v>52</v>
      </c>
    </row>
    <row r="3" customFormat="false" ht="15" hidden="false" customHeight="false" outlineLevel="0" collapsed="false">
      <c r="A3" s="8" t="s">
        <v>53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A4" s="11" t="s">
        <v>54</v>
      </c>
      <c r="B4" s="12" t="n">
        <v>3.75</v>
      </c>
      <c r="C4" s="12" t="n">
        <v>3.75</v>
      </c>
      <c r="D4" s="12" t="n">
        <v>3.75</v>
      </c>
      <c r="E4" s="12" t="n">
        <v>3.75</v>
      </c>
      <c r="F4" s="12" t="n">
        <v>3.75</v>
      </c>
      <c r="G4" s="12" t="n">
        <v>3.75</v>
      </c>
      <c r="H4" s="12" t="n">
        <v>3.75</v>
      </c>
      <c r="I4" s="12" t="n">
        <v>3.75</v>
      </c>
      <c r="J4" s="12" t="n">
        <v>3.75</v>
      </c>
      <c r="K4" s="12" t="n">
        <v>3.75</v>
      </c>
      <c r="L4" s="12" t="n">
        <v>3.75</v>
      </c>
    </row>
    <row r="5" customFormat="false" ht="15" hidden="false" customHeight="false" outlineLevel="0" collapsed="false">
      <c r="A5" s="8" t="s">
        <v>55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customFormat="false" ht="15" hidden="false" customHeight="false" outlineLevel="0" collapsed="false">
      <c r="A6" s="11" t="s">
        <v>56</v>
      </c>
      <c r="B6" s="13" t="n">
        <v>80</v>
      </c>
      <c r="C6" s="13" t="n">
        <v>80</v>
      </c>
      <c r="D6" s="13" t="n">
        <v>80</v>
      </c>
      <c r="E6" s="13" t="n">
        <v>80</v>
      </c>
      <c r="F6" s="13" t="n">
        <v>80</v>
      </c>
      <c r="G6" s="13" t="n">
        <v>80</v>
      </c>
      <c r="H6" s="13" t="n">
        <v>80</v>
      </c>
      <c r="I6" s="13" t="n">
        <v>80</v>
      </c>
      <c r="J6" s="13" t="n">
        <v>80</v>
      </c>
      <c r="K6" s="13" t="n">
        <v>80</v>
      </c>
      <c r="L6" s="13" t="n">
        <v>80</v>
      </c>
    </row>
    <row r="7" customFormat="false" ht="15" hidden="false" customHeight="false" outlineLevel="0" collapsed="false">
      <c r="A7" s="11" t="s">
        <v>57</v>
      </c>
      <c r="B7" s="14" t="n">
        <v>2.5</v>
      </c>
      <c r="C7" s="14" t="n">
        <v>2.5</v>
      </c>
      <c r="D7" s="14" t="n">
        <v>2.5</v>
      </c>
      <c r="E7" s="14" t="n">
        <v>2.5</v>
      </c>
      <c r="F7" s="14" t="n">
        <v>2.5</v>
      </c>
      <c r="G7" s="14" t="n">
        <v>2.5</v>
      </c>
      <c r="H7" s="14" t="n">
        <v>2.5</v>
      </c>
      <c r="I7" s="14" t="n">
        <v>2.5</v>
      </c>
      <c r="J7" s="14" t="n">
        <v>2.5</v>
      </c>
      <c r="K7" s="14" t="n">
        <v>2.5</v>
      </c>
      <c r="L7" s="14" t="n">
        <v>2.5</v>
      </c>
    </row>
    <row r="8" customFormat="false" ht="15" hidden="false" customHeight="false" outlineLevel="0" collapsed="false">
      <c r="A8" s="11" t="s">
        <v>58</v>
      </c>
      <c r="B8" s="15" t="n">
        <v>90000</v>
      </c>
      <c r="C8" s="15" t="n">
        <v>90000</v>
      </c>
      <c r="D8" s="15" t="n">
        <v>90000</v>
      </c>
      <c r="E8" s="15" t="n">
        <v>90000</v>
      </c>
      <c r="F8" s="15" t="n">
        <v>90000</v>
      </c>
      <c r="G8" s="15" t="n">
        <v>90000</v>
      </c>
      <c r="H8" s="15" t="n">
        <v>90000</v>
      </c>
      <c r="I8" s="15" t="n">
        <v>90000</v>
      </c>
      <c r="J8" s="15" t="n">
        <v>90000</v>
      </c>
      <c r="K8" s="15" t="n">
        <v>90000</v>
      </c>
      <c r="L8" s="15" t="n">
        <v>90000</v>
      </c>
    </row>
    <row r="9" customFormat="false" ht="15" hidden="false" customHeight="false" outlineLevel="0" collapsed="false">
      <c r="A9" s="11" t="s">
        <v>59</v>
      </c>
      <c r="B9" s="15" t="n">
        <v>200000</v>
      </c>
      <c r="C9" s="15" t="n">
        <v>200000</v>
      </c>
      <c r="D9" s="15" t="n">
        <v>200000</v>
      </c>
      <c r="E9" s="15" t="n">
        <v>200000</v>
      </c>
      <c r="F9" s="15" t="n">
        <v>200000</v>
      </c>
      <c r="G9" s="15" t="n">
        <v>200000</v>
      </c>
      <c r="H9" s="15" t="n">
        <v>200000</v>
      </c>
      <c r="I9" s="15" t="n">
        <v>200000</v>
      </c>
      <c r="J9" s="15" t="n">
        <v>200000</v>
      </c>
      <c r="K9" s="15" t="n">
        <v>200000</v>
      </c>
      <c r="L9" s="15" t="n">
        <v>200000</v>
      </c>
    </row>
    <row r="10" customFormat="false" ht="15" hidden="false" customHeight="false" outlineLevel="0" collapsed="false">
      <c r="A10" s="11" t="s">
        <v>60</v>
      </c>
      <c r="B10" s="15" t="n">
        <v>150</v>
      </c>
      <c r="C10" s="15" t="n">
        <v>150</v>
      </c>
      <c r="D10" s="15" t="n">
        <v>150</v>
      </c>
      <c r="E10" s="15" t="n">
        <v>150</v>
      </c>
      <c r="F10" s="15" t="n">
        <v>150</v>
      </c>
      <c r="G10" s="15" t="n">
        <v>150</v>
      </c>
      <c r="H10" s="15" t="n">
        <v>150</v>
      </c>
      <c r="I10" s="15" t="n">
        <v>150</v>
      </c>
      <c r="J10" s="15" t="n">
        <v>150</v>
      </c>
      <c r="K10" s="15" t="n">
        <v>150</v>
      </c>
      <c r="L10" s="15" t="n">
        <v>150</v>
      </c>
    </row>
    <row r="12" customFormat="false" ht="15" hidden="false" customHeight="false" outlineLevel="0" collapsed="false">
      <c r="A12" s="8" t="s">
        <v>61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customFormat="false" ht="15" hidden="false" customHeight="false" outlineLevel="0" collapsed="false">
      <c r="A13" s="11" t="s">
        <v>62</v>
      </c>
      <c r="B13" s="15" t="n">
        <v>0</v>
      </c>
      <c r="C13" s="15" t="n">
        <v>2000</v>
      </c>
      <c r="D13" s="15" t="n">
        <v>5000</v>
      </c>
      <c r="E13" s="15" t="n">
        <v>15000</v>
      </c>
      <c r="F13" s="15" t="n">
        <v>35000</v>
      </c>
      <c r="G13" s="15" t="n">
        <v>80000</v>
      </c>
      <c r="H13" s="15" t="n">
        <v>100000</v>
      </c>
      <c r="I13" s="15" t="n">
        <v>120000</v>
      </c>
      <c r="J13" s="15" t="n">
        <v>140000</v>
      </c>
      <c r="K13" s="15" t="n">
        <v>160000</v>
      </c>
      <c r="L13" s="15" t="n">
        <v>200000</v>
      </c>
    </row>
    <row r="14" customFormat="false" ht="15" hidden="false" customHeight="false" outlineLevel="0" collapsed="false">
      <c r="A14" s="11" t="s">
        <v>63</v>
      </c>
      <c r="B14" s="16" t="n">
        <v>0</v>
      </c>
      <c r="C14" s="16" t="n">
        <v>0</v>
      </c>
      <c r="D14" s="16" t="n">
        <v>0.35</v>
      </c>
      <c r="E14" s="16" t="n">
        <v>0.33</v>
      </c>
      <c r="F14" s="16" t="n">
        <v>0.25</v>
      </c>
      <c r="G14" s="16" t="n">
        <v>0.22</v>
      </c>
      <c r="H14" s="16" t="n">
        <v>0.2</v>
      </c>
      <c r="I14" s="16" t="n">
        <v>0.18</v>
      </c>
      <c r="J14" s="16" t="n">
        <v>0.18</v>
      </c>
      <c r="K14" s="16" t="n">
        <v>0.18</v>
      </c>
      <c r="L14" s="16" t="n">
        <v>0.18</v>
      </c>
    </row>
    <row r="15" customFormat="false" ht="15" hidden="false" customHeight="false" outlineLevel="0" collapsed="false">
      <c r="A15" s="11" t="s">
        <v>64</v>
      </c>
      <c r="B15" s="17" t="n">
        <f aca="false">B13*B14</f>
        <v>0</v>
      </c>
      <c r="C15" s="17" t="n">
        <f aca="false">C13*C14</f>
        <v>0</v>
      </c>
      <c r="D15" s="17" t="n">
        <f aca="false">D13*D14</f>
        <v>1750</v>
      </c>
      <c r="E15" s="17" t="n">
        <f aca="false">E13*E14</f>
        <v>4950</v>
      </c>
      <c r="F15" s="17" t="n">
        <f aca="false">F13*F14</f>
        <v>8750</v>
      </c>
      <c r="G15" s="17" t="n">
        <f aca="false">G13*G14</f>
        <v>17600</v>
      </c>
      <c r="H15" s="17" t="n">
        <f aca="false">H13*H14</f>
        <v>20000</v>
      </c>
      <c r="I15" s="17" t="n">
        <f aca="false">I13*I14</f>
        <v>21600</v>
      </c>
      <c r="J15" s="17" t="n">
        <f aca="false">J13*J14</f>
        <v>25200</v>
      </c>
      <c r="K15" s="17" t="n">
        <f aca="false">K13*K14</f>
        <v>28800</v>
      </c>
      <c r="L15" s="17" t="n">
        <f aca="false">L13*L14</f>
        <v>36000</v>
      </c>
    </row>
    <row r="17" customFormat="false" ht="15" hidden="false" customHeight="false" outlineLevel="0" collapsed="false">
      <c r="A17" s="8" t="s">
        <v>65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11" t="s">
        <v>66</v>
      </c>
      <c r="B18" s="15" t="n">
        <v>0</v>
      </c>
      <c r="C18" s="15" t="n">
        <v>3</v>
      </c>
      <c r="D18" s="15" t="n">
        <v>10</v>
      </c>
      <c r="E18" s="15" t="n">
        <v>25</v>
      </c>
      <c r="F18" s="15" t="n">
        <v>50</v>
      </c>
      <c r="G18" s="15" t="n">
        <v>100</v>
      </c>
      <c r="H18" s="15" t="n">
        <v>120</v>
      </c>
      <c r="I18" s="15" t="n">
        <v>150</v>
      </c>
      <c r="J18" s="15" t="n">
        <v>170</v>
      </c>
      <c r="K18" s="15" t="n">
        <v>185</v>
      </c>
      <c r="L18" s="15" t="n">
        <v>200</v>
      </c>
    </row>
    <row r="19" customFormat="false" ht="15" hidden="false" customHeight="false" outlineLevel="0" collapsed="false">
      <c r="A19" s="11" t="s">
        <v>67</v>
      </c>
      <c r="B19" s="15" t="n">
        <v>0</v>
      </c>
      <c r="C19" s="15" t="n">
        <v>0</v>
      </c>
      <c r="D19" s="15" t="n">
        <v>0</v>
      </c>
      <c r="E19" s="15" t="n">
        <v>1</v>
      </c>
      <c r="F19" s="15" t="n">
        <v>1</v>
      </c>
      <c r="G19" s="15" t="n">
        <v>2</v>
      </c>
      <c r="H19" s="15" t="n">
        <v>2</v>
      </c>
      <c r="I19" s="15" t="n">
        <v>3</v>
      </c>
      <c r="J19" s="15" t="n">
        <v>3</v>
      </c>
      <c r="K19" s="15" t="n">
        <v>4</v>
      </c>
      <c r="L19" s="15" t="n">
        <v>5</v>
      </c>
    </row>
    <row r="21" customFormat="false" ht="15" hidden="false" customHeight="false" outlineLevel="0" collapsed="false">
      <c r="A21" s="8" t="s">
        <v>68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11" t="s">
        <v>69</v>
      </c>
      <c r="B22" s="15" t="n">
        <v>348</v>
      </c>
      <c r="C22" s="15" t="n">
        <v>348</v>
      </c>
      <c r="D22" s="15" t="n">
        <v>348</v>
      </c>
      <c r="E22" s="15" t="n">
        <v>348</v>
      </c>
      <c r="F22" s="15" t="n">
        <v>348</v>
      </c>
      <c r="G22" s="15" t="n">
        <v>348</v>
      </c>
      <c r="H22" s="15" t="n">
        <v>348</v>
      </c>
      <c r="I22" s="15" t="n">
        <v>348</v>
      </c>
      <c r="J22" s="15" t="n">
        <v>348</v>
      </c>
      <c r="K22" s="15" t="n">
        <v>348</v>
      </c>
      <c r="L22" s="15" t="n">
        <v>348</v>
      </c>
    </row>
    <row r="23" customFormat="false" ht="15" hidden="false" customHeight="false" outlineLevel="0" collapsed="false">
      <c r="A23" s="11" t="s">
        <v>70</v>
      </c>
      <c r="B23" s="15" t="n">
        <v>150</v>
      </c>
      <c r="C23" s="15" t="n">
        <v>150</v>
      </c>
      <c r="D23" s="15" t="n">
        <v>150</v>
      </c>
      <c r="E23" s="15" t="n">
        <v>150</v>
      </c>
      <c r="F23" s="15" t="n">
        <v>150</v>
      </c>
      <c r="G23" s="15" t="n">
        <v>150</v>
      </c>
      <c r="H23" s="15" t="n">
        <v>150</v>
      </c>
      <c r="I23" s="15" t="n">
        <v>150</v>
      </c>
      <c r="J23" s="15" t="n">
        <v>150</v>
      </c>
      <c r="K23" s="15" t="n">
        <v>150</v>
      </c>
      <c r="L23" s="15" t="n">
        <v>150</v>
      </c>
    </row>
    <row r="24" customFormat="false" ht="15" hidden="false" customHeight="false" outlineLevel="0" collapsed="false">
      <c r="A24" s="11" t="s">
        <v>71</v>
      </c>
      <c r="B24" s="14" t="n">
        <v>3</v>
      </c>
      <c r="C24" s="14" t="n">
        <v>3</v>
      </c>
      <c r="D24" s="14" t="n">
        <v>3</v>
      </c>
      <c r="E24" s="14" t="n">
        <v>3</v>
      </c>
      <c r="F24" s="14" t="n">
        <v>3</v>
      </c>
      <c r="G24" s="14" t="n">
        <v>3</v>
      </c>
      <c r="H24" s="14" t="n">
        <v>3</v>
      </c>
      <c r="I24" s="14" t="n">
        <v>3</v>
      </c>
      <c r="J24" s="14" t="n">
        <v>3</v>
      </c>
      <c r="K24" s="14" t="n">
        <v>3</v>
      </c>
      <c r="L24" s="14" t="n">
        <v>3</v>
      </c>
    </row>
    <row r="25" customFormat="false" ht="15" hidden="false" customHeight="false" outlineLevel="0" collapsed="false">
      <c r="A25" s="11" t="s">
        <v>72</v>
      </c>
      <c r="B25" s="15" t="n">
        <v>200</v>
      </c>
      <c r="C25" s="15" t="n">
        <v>200</v>
      </c>
      <c r="D25" s="15" t="n">
        <v>200</v>
      </c>
      <c r="E25" s="15" t="n">
        <v>200</v>
      </c>
      <c r="F25" s="15" t="n">
        <v>200</v>
      </c>
      <c r="G25" s="15" t="n">
        <v>200</v>
      </c>
      <c r="H25" s="15" t="n">
        <v>200</v>
      </c>
      <c r="I25" s="15" t="n">
        <v>200</v>
      </c>
      <c r="J25" s="15" t="n">
        <v>200</v>
      </c>
      <c r="K25" s="15" t="n">
        <v>200</v>
      </c>
      <c r="L25" s="15" t="n">
        <v>200</v>
      </c>
    </row>
    <row r="26" customFormat="false" ht="15" hidden="false" customHeight="false" outlineLevel="0" collapsed="false">
      <c r="A26" s="11" t="s">
        <v>73</v>
      </c>
      <c r="B26" s="15" t="n">
        <v>350</v>
      </c>
      <c r="C26" s="15" t="n">
        <v>350</v>
      </c>
      <c r="D26" s="15" t="n">
        <v>350</v>
      </c>
      <c r="E26" s="15" t="n">
        <v>350</v>
      </c>
      <c r="F26" s="15" t="n">
        <v>350</v>
      </c>
      <c r="G26" s="15" t="n">
        <v>350</v>
      </c>
      <c r="H26" s="15" t="n">
        <v>350</v>
      </c>
      <c r="I26" s="15" t="n">
        <v>350</v>
      </c>
      <c r="J26" s="15" t="n">
        <v>350</v>
      </c>
      <c r="K26" s="15" t="n">
        <v>350</v>
      </c>
      <c r="L26" s="15" t="n">
        <v>350</v>
      </c>
    </row>
    <row r="27" customFormat="false" ht="15" hidden="false" customHeight="false" outlineLevel="0" collapsed="false">
      <c r="A27" s="11" t="s">
        <v>74</v>
      </c>
      <c r="B27" s="15" t="n">
        <v>500</v>
      </c>
      <c r="C27" s="15" t="n">
        <v>500</v>
      </c>
      <c r="D27" s="15" t="n">
        <v>500</v>
      </c>
      <c r="E27" s="15" t="n">
        <v>500</v>
      </c>
      <c r="F27" s="15" t="n">
        <v>500</v>
      </c>
      <c r="G27" s="15" t="n">
        <v>500</v>
      </c>
      <c r="H27" s="15" t="n">
        <v>500</v>
      </c>
      <c r="I27" s="15" t="n">
        <v>500</v>
      </c>
      <c r="J27" s="15" t="n">
        <v>500</v>
      </c>
      <c r="K27" s="15" t="n">
        <v>500</v>
      </c>
      <c r="L27" s="15" t="n">
        <v>500</v>
      </c>
    </row>
    <row r="28" customFormat="false" ht="15" hidden="false" customHeight="false" outlineLevel="0" collapsed="false">
      <c r="A28" s="11" t="s">
        <v>75</v>
      </c>
      <c r="B28" s="15" t="n">
        <v>99</v>
      </c>
      <c r="C28" s="15" t="n">
        <v>99</v>
      </c>
      <c r="D28" s="15" t="n">
        <v>99</v>
      </c>
      <c r="E28" s="15" t="n">
        <v>99</v>
      </c>
      <c r="F28" s="15" t="n">
        <v>99</v>
      </c>
      <c r="G28" s="15" t="n">
        <v>99</v>
      </c>
      <c r="H28" s="15" t="n">
        <v>99</v>
      </c>
      <c r="I28" s="15" t="n">
        <v>99</v>
      </c>
      <c r="J28" s="15" t="n">
        <v>99</v>
      </c>
      <c r="K28" s="15" t="n">
        <v>99</v>
      </c>
      <c r="L28" s="15" t="n">
        <v>99</v>
      </c>
    </row>
    <row r="29" customFormat="false" ht="15" hidden="false" customHeight="false" outlineLevel="0" collapsed="false">
      <c r="A29" s="11" t="s">
        <v>76</v>
      </c>
      <c r="B29" s="15" t="n">
        <v>60000</v>
      </c>
      <c r="C29" s="15" t="n">
        <v>60000</v>
      </c>
      <c r="D29" s="15" t="n">
        <v>60000</v>
      </c>
      <c r="E29" s="15" t="n">
        <v>60000</v>
      </c>
      <c r="F29" s="15" t="n">
        <v>60000</v>
      </c>
      <c r="G29" s="15" t="n">
        <v>60000</v>
      </c>
      <c r="H29" s="15" t="n">
        <v>60000</v>
      </c>
      <c r="I29" s="15" t="n">
        <v>60000</v>
      </c>
      <c r="J29" s="15" t="n">
        <v>60000</v>
      </c>
      <c r="K29" s="15" t="n">
        <v>60000</v>
      </c>
      <c r="L29" s="15" t="n">
        <v>60000</v>
      </c>
    </row>
    <row r="30" customFormat="false" ht="15" hidden="false" customHeight="false" outlineLevel="0" collapsed="false">
      <c r="A30" s="11" t="s">
        <v>77</v>
      </c>
      <c r="B30" s="15" t="n">
        <v>10000</v>
      </c>
      <c r="C30" s="15" t="n">
        <v>10000</v>
      </c>
      <c r="D30" s="15" t="n">
        <v>10000</v>
      </c>
      <c r="E30" s="15" t="n">
        <v>10000</v>
      </c>
      <c r="F30" s="15" t="n">
        <v>10000</v>
      </c>
      <c r="G30" s="15" t="n">
        <v>10000</v>
      </c>
      <c r="H30" s="15" t="n">
        <v>10000</v>
      </c>
      <c r="I30" s="15" t="n">
        <v>10000</v>
      </c>
      <c r="J30" s="15" t="n">
        <v>10000</v>
      </c>
      <c r="K30" s="15" t="n">
        <v>10000</v>
      </c>
      <c r="L30" s="15" t="n">
        <v>10000</v>
      </c>
    </row>
    <row r="31" customFormat="false" ht="15" hidden="false" customHeight="false" outlineLevel="0" collapsed="false">
      <c r="A31" s="11" t="s">
        <v>78</v>
      </c>
      <c r="B31" s="15" t="n">
        <v>5000</v>
      </c>
      <c r="C31" s="15" t="n">
        <v>5000</v>
      </c>
      <c r="D31" s="15" t="n">
        <v>5000</v>
      </c>
      <c r="E31" s="15" t="n">
        <v>5000</v>
      </c>
      <c r="F31" s="15" t="n">
        <v>5000</v>
      </c>
      <c r="G31" s="15" t="n">
        <v>5000</v>
      </c>
      <c r="H31" s="15" t="n">
        <v>5000</v>
      </c>
      <c r="I31" s="15" t="n">
        <v>5000</v>
      </c>
      <c r="J31" s="15" t="n">
        <v>5000</v>
      </c>
      <c r="K31" s="15" t="n">
        <v>5000</v>
      </c>
      <c r="L31" s="15" t="n">
        <v>5000</v>
      </c>
    </row>
    <row r="32" customFormat="false" ht="15" hidden="false" customHeight="false" outlineLevel="0" collapsed="false">
      <c r="A32" s="11" t="s">
        <v>79</v>
      </c>
      <c r="B32" s="15" t="n">
        <v>100000</v>
      </c>
      <c r="C32" s="15" t="n">
        <v>100000</v>
      </c>
      <c r="D32" s="15" t="n">
        <v>100000</v>
      </c>
      <c r="E32" s="15" t="n">
        <v>100000</v>
      </c>
      <c r="F32" s="15" t="n">
        <v>100000</v>
      </c>
      <c r="G32" s="15" t="n">
        <v>100000</v>
      </c>
      <c r="H32" s="15" t="n">
        <v>100000</v>
      </c>
      <c r="I32" s="15" t="n">
        <v>100000</v>
      </c>
      <c r="J32" s="15" t="n">
        <v>100000</v>
      </c>
      <c r="K32" s="15" t="n">
        <v>100000</v>
      </c>
      <c r="L32" s="15" t="n">
        <v>100000</v>
      </c>
    </row>
    <row r="33" customFormat="false" ht="15" hidden="false" customHeight="false" outlineLevel="0" collapsed="false">
      <c r="A33" s="11" t="s">
        <v>80</v>
      </c>
      <c r="B33" s="15" t="n">
        <v>200000</v>
      </c>
      <c r="C33" s="15" t="n">
        <v>200000</v>
      </c>
      <c r="D33" s="15" t="n">
        <v>200000</v>
      </c>
      <c r="E33" s="15" t="n">
        <v>200000</v>
      </c>
      <c r="F33" s="15" t="n">
        <v>200000</v>
      </c>
      <c r="G33" s="15" t="n">
        <v>200000</v>
      </c>
      <c r="H33" s="15" t="n">
        <v>200000</v>
      </c>
      <c r="I33" s="15" t="n">
        <v>200000</v>
      </c>
      <c r="J33" s="15" t="n">
        <v>200000</v>
      </c>
      <c r="K33" s="15" t="n">
        <v>200000</v>
      </c>
      <c r="L33" s="15" t="n">
        <v>200000</v>
      </c>
    </row>
    <row r="34" customFormat="false" ht="15" hidden="false" customHeight="false" outlineLevel="0" collapsed="false">
      <c r="A34" s="11" t="s">
        <v>81</v>
      </c>
      <c r="B34" s="15" t="n">
        <v>2000</v>
      </c>
      <c r="C34" s="15" t="n">
        <v>2000</v>
      </c>
      <c r="D34" s="15" t="n">
        <v>2000</v>
      </c>
      <c r="E34" s="15" t="n">
        <v>2000</v>
      </c>
      <c r="F34" s="15" t="n">
        <v>2000</v>
      </c>
      <c r="G34" s="15" t="n">
        <v>2000</v>
      </c>
      <c r="H34" s="15" t="n">
        <v>2000</v>
      </c>
      <c r="I34" s="15" t="n">
        <v>2000</v>
      </c>
      <c r="J34" s="15" t="n">
        <v>2000</v>
      </c>
      <c r="K34" s="15" t="n">
        <v>2000</v>
      </c>
      <c r="L34" s="15" t="n">
        <v>2000</v>
      </c>
    </row>
    <row r="35" customFormat="false" ht="15" hidden="false" customHeight="false" outlineLevel="0" collapsed="false">
      <c r="A35" s="11" t="s">
        <v>82</v>
      </c>
      <c r="B35" s="15" t="n">
        <v>30000</v>
      </c>
      <c r="C35" s="15" t="n">
        <v>30000</v>
      </c>
      <c r="D35" s="15" t="n">
        <v>30000</v>
      </c>
      <c r="E35" s="15" t="n">
        <v>30000</v>
      </c>
      <c r="F35" s="15" t="n">
        <v>30000</v>
      </c>
      <c r="G35" s="15" t="n">
        <v>30000</v>
      </c>
      <c r="H35" s="15" t="n">
        <v>30000</v>
      </c>
      <c r="I35" s="15" t="n">
        <v>30000</v>
      </c>
      <c r="J35" s="15" t="n">
        <v>30000</v>
      </c>
      <c r="K35" s="15" t="n">
        <v>30000</v>
      </c>
      <c r="L35" s="15" t="n">
        <v>30000</v>
      </c>
    </row>
    <row r="36" customFormat="false" ht="15" hidden="false" customHeight="false" outlineLevel="0" collapsed="false">
      <c r="A36" s="11" t="s">
        <v>83</v>
      </c>
      <c r="B36" s="15" t="n">
        <v>100000</v>
      </c>
      <c r="C36" s="15" t="n">
        <v>100000</v>
      </c>
      <c r="D36" s="15" t="n">
        <v>100000</v>
      </c>
      <c r="E36" s="15" t="n">
        <v>100000</v>
      </c>
      <c r="F36" s="15" t="n">
        <v>100000</v>
      </c>
      <c r="G36" s="15" t="n">
        <v>100000</v>
      </c>
      <c r="H36" s="15" t="n">
        <v>100000</v>
      </c>
      <c r="I36" s="15" t="n">
        <v>100000</v>
      </c>
      <c r="J36" s="15" t="n">
        <v>100000</v>
      </c>
      <c r="K36" s="15" t="n">
        <v>100000</v>
      </c>
      <c r="L36" s="15" t="n">
        <v>100000</v>
      </c>
    </row>
    <row r="37" customFormat="false" ht="15" hidden="false" customHeight="false" outlineLevel="0" collapsed="false">
      <c r="A37" s="11" t="s">
        <v>84</v>
      </c>
      <c r="B37" s="15" t="n">
        <v>1000</v>
      </c>
      <c r="C37" s="15" t="n">
        <v>1000</v>
      </c>
      <c r="D37" s="15" t="n">
        <v>1000</v>
      </c>
      <c r="E37" s="15" t="n">
        <v>1000</v>
      </c>
      <c r="F37" s="15" t="n">
        <v>1000</v>
      </c>
      <c r="G37" s="15" t="n">
        <v>1000</v>
      </c>
      <c r="H37" s="15" t="n">
        <v>1000</v>
      </c>
      <c r="I37" s="15" t="n">
        <v>1000</v>
      </c>
      <c r="J37" s="15" t="n">
        <v>1000</v>
      </c>
      <c r="K37" s="15" t="n">
        <v>1000</v>
      </c>
      <c r="L37" s="15" t="n">
        <v>1000</v>
      </c>
    </row>
    <row r="38" customFormat="false" ht="15" hidden="false" customHeight="false" outlineLevel="0" collapsed="false">
      <c r="A38" s="11" t="s">
        <v>85</v>
      </c>
      <c r="B38" s="15" t="n">
        <v>300000</v>
      </c>
      <c r="C38" s="15" t="n">
        <v>300000</v>
      </c>
      <c r="D38" s="15" t="n">
        <v>300000</v>
      </c>
      <c r="E38" s="15" t="n">
        <v>300000</v>
      </c>
      <c r="F38" s="15" t="n">
        <v>300000</v>
      </c>
      <c r="G38" s="15" t="n">
        <v>300000</v>
      </c>
      <c r="H38" s="15" t="n">
        <v>300000</v>
      </c>
      <c r="I38" s="15" t="n">
        <v>300000</v>
      </c>
      <c r="J38" s="15" t="n">
        <v>300000</v>
      </c>
      <c r="K38" s="15" t="n">
        <v>300000</v>
      </c>
      <c r="L38" s="15" t="n">
        <v>300000</v>
      </c>
    </row>
    <row r="39" customFormat="false" ht="15" hidden="false" customHeight="false" outlineLevel="0" collapsed="false">
      <c r="A39" s="11" t="s">
        <v>86</v>
      </c>
      <c r="B39" s="15" t="n">
        <v>100000</v>
      </c>
      <c r="C39" s="15" t="n">
        <v>100000</v>
      </c>
      <c r="D39" s="15" t="n">
        <v>100000</v>
      </c>
      <c r="E39" s="15" t="n">
        <v>100000</v>
      </c>
      <c r="F39" s="15" t="n">
        <v>100000</v>
      </c>
      <c r="G39" s="15" t="n">
        <v>100000</v>
      </c>
      <c r="H39" s="15" t="n">
        <v>100000</v>
      </c>
      <c r="I39" s="15" t="n">
        <v>100000</v>
      </c>
      <c r="J39" s="15" t="n">
        <v>100000</v>
      </c>
      <c r="K39" s="15" t="n">
        <v>100000</v>
      </c>
      <c r="L39" s="15" t="n">
        <v>100000</v>
      </c>
    </row>
    <row r="40" customFormat="false" ht="15" hidden="false" customHeight="false" outlineLevel="0" collapsed="false">
      <c r="A40" s="11" t="s">
        <v>87</v>
      </c>
      <c r="B40" s="15" t="n">
        <v>60000</v>
      </c>
      <c r="C40" s="15" t="n">
        <v>60000</v>
      </c>
      <c r="D40" s="15" t="n">
        <v>60000</v>
      </c>
      <c r="E40" s="15" t="n">
        <v>60000</v>
      </c>
      <c r="F40" s="15" t="n">
        <v>60000</v>
      </c>
      <c r="G40" s="15" t="n">
        <v>60000</v>
      </c>
      <c r="H40" s="15" t="n">
        <v>60000</v>
      </c>
      <c r="I40" s="15" t="n">
        <v>60000</v>
      </c>
      <c r="J40" s="15" t="n">
        <v>60000</v>
      </c>
      <c r="K40" s="15" t="n">
        <v>60000</v>
      </c>
      <c r="L40" s="15" t="n">
        <v>60000</v>
      </c>
    </row>
    <row r="41" customFormat="false" ht="15" hidden="false" customHeight="false" outlineLevel="0" collapsed="false">
      <c r="A41" s="11" t="s">
        <v>88</v>
      </c>
      <c r="B41" s="15" t="n">
        <v>300000</v>
      </c>
      <c r="C41" s="15" t="n">
        <v>300000</v>
      </c>
      <c r="D41" s="15" t="n">
        <v>300000</v>
      </c>
      <c r="E41" s="15" t="n">
        <v>300000</v>
      </c>
      <c r="F41" s="15" t="n">
        <v>300000</v>
      </c>
      <c r="G41" s="15" t="n">
        <v>300000</v>
      </c>
      <c r="H41" s="15" t="n">
        <v>300000</v>
      </c>
      <c r="I41" s="15" t="n">
        <v>300000</v>
      </c>
      <c r="J41" s="15" t="n">
        <v>300000</v>
      </c>
      <c r="K41" s="15" t="n">
        <v>300000</v>
      </c>
      <c r="L41" s="15" t="n">
        <v>300000</v>
      </c>
    </row>
    <row r="42" customFormat="false" ht="15" hidden="false" customHeight="false" outlineLevel="0" collapsed="false">
      <c r="A42" s="11" t="s">
        <v>89</v>
      </c>
      <c r="B42" s="15" t="n">
        <v>50000</v>
      </c>
      <c r="C42" s="15" t="n">
        <v>50000</v>
      </c>
      <c r="D42" s="15" t="n">
        <v>50000</v>
      </c>
      <c r="E42" s="15" t="n">
        <v>50000</v>
      </c>
      <c r="F42" s="15" t="n">
        <v>50000</v>
      </c>
      <c r="G42" s="15" t="n">
        <v>50000</v>
      </c>
      <c r="H42" s="15" t="n">
        <v>50000</v>
      </c>
      <c r="I42" s="15" t="n">
        <v>50000</v>
      </c>
      <c r="J42" s="15" t="n">
        <v>50000</v>
      </c>
      <c r="K42" s="15" t="n">
        <v>50000</v>
      </c>
      <c r="L42" s="15" t="n">
        <v>50000</v>
      </c>
    </row>
    <row r="43" customFormat="false" ht="15" hidden="false" customHeight="false" outlineLevel="0" collapsed="false">
      <c r="A43" s="11" t="s">
        <v>90</v>
      </c>
      <c r="B43" s="15" t="n">
        <v>2000000</v>
      </c>
      <c r="C43" s="15" t="n">
        <v>2000000</v>
      </c>
      <c r="D43" s="15" t="n">
        <v>2000000</v>
      </c>
      <c r="E43" s="15" t="n">
        <v>2000000</v>
      </c>
      <c r="F43" s="15" t="n">
        <v>2000000</v>
      </c>
      <c r="G43" s="15" t="n">
        <v>2000000</v>
      </c>
      <c r="H43" s="15" t="n">
        <v>2000000</v>
      </c>
      <c r="I43" s="15" t="n">
        <v>2000000</v>
      </c>
      <c r="J43" s="15" t="n">
        <v>2000000</v>
      </c>
      <c r="K43" s="15" t="n">
        <v>2000000</v>
      </c>
      <c r="L43" s="15" t="n">
        <v>2000000</v>
      </c>
    </row>
    <row r="45" customFormat="false" ht="15" hidden="false" customHeight="false" outlineLevel="0" collapsed="false">
      <c r="A45" s="8" t="s">
        <v>91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customFormat="false" ht="15" hidden="false" customHeight="false" outlineLevel="0" collapsed="false">
      <c r="A46" s="11" t="s">
        <v>92</v>
      </c>
      <c r="B46" s="15" t="n">
        <v>0</v>
      </c>
      <c r="C46" s="15" t="n">
        <v>7000</v>
      </c>
      <c r="D46" s="15" t="n">
        <v>8500</v>
      </c>
      <c r="E46" s="15" t="n">
        <v>9500</v>
      </c>
      <c r="F46" s="15" t="n">
        <v>9800</v>
      </c>
      <c r="G46" s="15" t="n">
        <v>10000</v>
      </c>
      <c r="H46" s="15" t="n">
        <v>11000</v>
      </c>
      <c r="I46" s="15" t="n">
        <v>12000</v>
      </c>
      <c r="J46" s="15" t="n">
        <v>13000</v>
      </c>
      <c r="K46" s="15" t="n">
        <v>14000</v>
      </c>
      <c r="L46" s="15" t="n">
        <v>15000</v>
      </c>
    </row>
    <row r="47" customFormat="false" ht="15" hidden="false" customHeight="false" outlineLevel="0" collapsed="false">
      <c r="A47" s="11" t="s">
        <v>93</v>
      </c>
      <c r="B47" s="15" t="n">
        <v>0</v>
      </c>
      <c r="C47" s="15" t="n">
        <v>3500</v>
      </c>
      <c r="D47" s="15" t="n">
        <v>4200</v>
      </c>
      <c r="E47" s="15" t="n">
        <v>4800</v>
      </c>
      <c r="F47" s="15" t="n">
        <v>4900</v>
      </c>
      <c r="G47" s="15" t="n">
        <v>5000</v>
      </c>
      <c r="H47" s="15" t="n">
        <v>5500</v>
      </c>
      <c r="I47" s="15" t="n">
        <v>6000</v>
      </c>
      <c r="J47" s="15" t="n">
        <v>6500</v>
      </c>
      <c r="K47" s="15" t="n">
        <v>7000</v>
      </c>
      <c r="L47" s="15" t="n">
        <v>7500</v>
      </c>
    </row>
    <row r="48" customFormat="false" ht="15" hidden="false" customHeight="false" outlineLevel="0" collapsed="false">
      <c r="A48" s="11" t="s">
        <v>94</v>
      </c>
      <c r="B48" s="15" t="n">
        <v>0</v>
      </c>
      <c r="C48" s="15" t="n">
        <v>1400</v>
      </c>
      <c r="D48" s="15" t="n">
        <v>1700</v>
      </c>
      <c r="E48" s="15" t="n">
        <v>1900</v>
      </c>
      <c r="F48" s="15" t="n">
        <v>1950</v>
      </c>
      <c r="G48" s="15" t="n">
        <v>2000</v>
      </c>
      <c r="H48" s="15" t="n">
        <v>2200</v>
      </c>
      <c r="I48" s="15" t="n">
        <v>2400</v>
      </c>
      <c r="J48" s="15" t="n">
        <v>2600</v>
      </c>
      <c r="K48" s="15" t="n">
        <v>2800</v>
      </c>
      <c r="L48" s="15" t="n">
        <v>3000</v>
      </c>
    </row>
    <row r="49" customFormat="false" ht="15" hidden="false" customHeight="false" outlineLevel="0" collapsed="false">
      <c r="A49" s="11" t="s">
        <v>95</v>
      </c>
      <c r="B49" s="15" t="n">
        <v>0</v>
      </c>
      <c r="C49" s="15" t="n">
        <v>10000</v>
      </c>
      <c r="D49" s="15" t="n">
        <v>18000</v>
      </c>
      <c r="E49" s="15" t="n">
        <v>25000</v>
      </c>
      <c r="F49" s="15" t="n">
        <v>28000</v>
      </c>
      <c r="G49" s="15" t="n">
        <v>30000</v>
      </c>
      <c r="H49" s="15" t="n">
        <v>38000</v>
      </c>
      <c r="I49" s="15" t="n">
        <v>45000</v>
      </c>
      <c r="J49" s="15" t="n">
        <v>52000</v>
      </c>
      <c r="K49" s="15" t="n">
        <v>60000</v>
      </c>
      <c r="L49" s="15" t="n">
        <v>70000</v>
      </c>
    </row>
    <row r="50" customFormat="false" ht="15" hidden="false" customHeight="false" outlineLevel="0" collapsed="false">
      <c r="A50" s="11" t="s">
        <v>96</v>
      </c>
      <c r="B50" s="15" t="n">
        <v>0</v>
      </c>
      <c r="C50" s="15" t="n">
        <v>18</v>
      </c>
      <c r="D50" s="15" t="n">
        <v>30</v>
      </c>
      <c r="E50" s="15" t="n">
        <v>40</v>
      </c>
      <c r="F50" s="15" t="n">
        <v>45</v>
      </c>
      <c r="G50" s="15" t="n">
        <v>50</v>
      </c>
      <c r="H50" s="15" t="n">
        <v>55</v>
      </c>
      <c r="I50" s="15" t="n">
        <v>60</v>
      </c>
      <c r="J50" s="15" t="n">
        <v>65</v>
      </c>
      <c r="K50" s="15" t="n">
        <v>70</v>
      </c>
      <c r="L50" s="15" t="n">
        <v>75</v>
      </c>
    </row>
    <row r="51" customFormat="false" ht="15" hidden="false" customHeight="false" outlineLevel="0" collapsed="false">
      <c r="A51" s="11" t="s">
        <v>97</v>
      </c>
      <c r="B51" s="15" t="n">
        <v>0</v>
      </c>
      <c r="C51" s="15" t="n">
        <v>0</v>
      </c>
      <c r="D51" s="15" t="n">
        <v>0</v>
      </c>
      <c r="E51" s="15" t="n">
        <v>20</v>
      </c>
      <c r="F51" s="15" t="n">
        <v>35</v>
      </c>
      <c r="G51" s="15" t="n">
        <v>40</v>
      </c>
      <c r="H51" s="15" t="n">
        <v>50</v>
      </c>
      <c r="I51" s="15" t="n">
        <v>60</v>
      </c>
      <c r="J51" s="15" t="n">
        <v>70</v>
      </c>
      <c r="K51" s="15" t="n">
        <v>80</v>
      </c>
      <c r="L51" s="15" t="n">
        <v>90</v>
      </c>
    </row>
    <row r="52" customFormat="false" ht="15" hidden="false" customHeight="false" outlineLevel="0" collapsed="false">
      <c r="A52" s="11" t="s">
        <v>98</v>
      </c>
      <c r="B52" s="15" t="n">
        <v>0</v>
      </c>
      <c r="C52" s="15" t="n">
        <v>0</v>
      </c>
      <c r="D52" s="15" t="n">
        <v>0</v>
      </c>
      <c r="E52" s="15" t="n">
        <v>600</v>
      </c>
      <c r="F52" s="15" t="n">
        <v>1500</v>
      </c>
      <c r="G52" s="15" t="n">
        <v>2000</v>
      </c>
      <c r="H52" s="15" t="n">
        <v>2800</v>
      </c>
      <c r="I52" s="15" t="n">
        <v>3500</v>
      </c>
      <c r="J52" s="15" t="n">
        <v>4000</v>
      </c>
      <c r="K52" s="15" t="n">
        <v>4500</v>
      </c>
      <c r="L52" s="15" t="n">
        <v>5000</v>
      </c>
    </row>
    <row r="53" customFormat="false" ht="15" hidden="false" customHeight="false" outlineLevel="0" collapsed="false">
      <c r="A53" s="11" t="s">
        <v>99</v>
      </c>
      <c r="B53" s="15" t="n">
        <v>0</v>
      </c>
      <c r="C53" s="15" t="n">
        <v>0</v>
      </c>
      <c r="D53" s="15" t="n">
        <v>0</v>
      </c>
      <c r="E53" s="15" t="n">
        <v>5</v>
      </c>
      <c r="F53" s="15" t="n">
        <v>8</v>
      </c>
      <c r="G53" s="15" t="n">
        <v>10</v>
      </c>
      <c r="H53" s="15" t="n">
        <v>14</v>
      </c>
      <c r="I53" s="15" t="n">
        <v>18</v>
      </c>
      <c r="J53" s="15" t="n">
        <v>22</v>
      </c>
      <c r="K53" s="15" t="n">
        <v>26</v>
      </c>
      <c r="L53" s="15" t="n">
        <v>30</v>
      </c>
    </row>
    <row r="54" customFormat="false" ht="15" hidden="false" customHeight="false" outlineLevel="0" collapsed="false">
      <c r="A54" s="11" t="s">
        <v>100</v>
      </c>
      <c r="B54" s="15" t="n">
        <v>0</v>
      </c>
      <c r="C54" s="15" t="n">
        <v>0</v>
      </c>
      <c r="D54" s="15" t="n">
        <v>0</v>
      </c>
      <c r="E54" s="15" t="n">
        <v>3</v>
      </c>
      <c r="F54" s="15" t="n">
        <v>4</v>
      </c>
      <c r="G54" s="15" t="n">
        <v>5</v>
      </c>
      <c r="H54" s="15" t="n">
        <v>6</v>
      </c>
      <c r="I54" s="15" t="n">
        <v>7</v>
      </c>
      <c r="J54" s="15" t="n">
        <v>8</v>
      </c>
      <c r="K54" s="15" t="n">
        <v>9</v>
      </c>
      <c r="L54" s="15" t="n">
        <v>10</v>
      </c>
    </row>
    <row r="55" customFormat="false" ht="15" hidden="false" customHeight="false" outlineLevel="0" collapsed="false">
      <c r="A55" s="11" t="s">
        <v>101</v>
      </c>
      <c r="B55" s="15" t="n">
        <v>0</v>
      </c>
      <c r="C55" s="15" t="n">
        <v>0</v>
      </c>
      <c r="D55" s="15" t="n">
        <v>150</v>
      </c>
      <c r="E55" s="15" t="n">
        <v>350</v>
      </c>
      <c r="F55" s="15" t="n">
        <v>450</v>
      </c>
      <c r="G55" s="15" t="n">
        <v>500</v>
      </c>
      <c r="H55" s="15" t="n">
        <v>600</v>
      </c>
      <c r="I55" s="15" t="n">
        <v>700</v>
      </c>
      <c r="J55" s="15" t="n">
        <v>800</v>
      </c>
      <c r="K55" s="15" t="n">
        <v>900</v>
      </c>
      <c r="L55" s="15" t="n">
        <v>1000</v>
      </c>
    </row>
    <row r="56" customFormat="false" ht="15" hidden="false" customHeight="false" outlineLevel="0" collapsed="false">
      <c r="A56" s="11" t="s">
        <v>102</v>
      </c>
      <c r="B56" s="15" t="n">
        <v>0</v>
      </c>
      <c r="C56" s="15" t="n">
        <v>0</v>
      </c>
      <c r="D56" s="15" t="n">
        <v>8</v>
      </c>
      <c r="E56" s="15" t="n">
        <v>20</v>
      </c>
      <c r="F56" s="15" t="n">
        <v>25</v>
      </c>
      <c r="G56" s="15" t="n">
        <v>30</v>
      </c>
      <c r="H56" s="15" t="n">
        <v>35</v>
      </c>
      <c r="I56" s="15" t="n">
        <v>40</v>
      </c>
      <c r="J56" s="15" t="n">
        <v>45</v>
      </c>
      <c r="K56" s="15" t="n">
        <v>50</v>
      </c>
      <c r="L56" s="15" t="n">
        <v>55</v>
      </c>
    </row>
    <row r="57" customFormat="false" ht="15" hidden="false" customHeight="false" outlineLevel="0" collapsed="false">
      <c r="A57" s="11" t="s">
        <v>103</v>
      </c>
      <c r="B57" s="15" t="n">
        <v>0</v>
      </c>
      <c r="C57" s="15" t="n">
        <v>0</v>
      </c>
      <c r="D57" s="15" t="n">
        <v>3</v>
      </c>
      <c r="E57" s="15" t="n">
        <v>7</v>
      </c>
      <c r="F57" s="15" t="n">
        <v>9</v>
      </c>
      <c r="G57" s="15" t="n">
        <v>10</v>
      </c>
      <c r="H57" s="15" t="n">
        <v>12</v>
      </c>
      <c r="I57" s="15" t="n">
        <v>14</v>
      </c>
      <c r="J57" s="15" t="n">
        <v>16</v>
      </c>
      <c r="K57" s="15" t="n">
        <v>18</v>
      </c>
      <c r="L57" s="15" t="n">
        <v>20</v>
      </c>
    </row>
    <row r="58" customFormat="false" ht="15" hidden="false" customHeight="false" outlineLevel="0" collapsed="false">
      <c r="A58" s="11" t="s">
        <v>104</v>
      </c>
      <c r="B58" s="15" t="n">
        <v>0</v>
      </c>
      <c r="C58" s="15" t="n">
        <v>0</v>
      </c>
      <c r="D58" s="15" t="n">
        <v>30</v>
      </c>
      <c r="E58" s="15" t="n">
        <v>60</v>
      </c>
      <c r="F58" s="15" t="n">
        <v>80</v>
      </c>
      <c r="G58" s="15" t="n">
        <v>100</v>
      </c>
      <c r="H58" s="15" t="n">
        <v>120</v>
      </c>
      <c r="I58" s="15" t="n">
        <v>140</v>
      </c>
      <c r="J58" s="15" t="n">
        <v>160</v>
      </c>
      <c r="K58" s="15" t="n">
        <v>180</v>
      </c>
      <c r="L58" s="15" t="n">
        <v>200</v>
      </c>
    </row>
    <row r="59" customFormat="false" ht="15" hidden="false" customHeight="false" outlineLevel="0" collapsed="false">
      <c r="A59" s="11" t="s">
        <v>105</v>
      </c>
      <c r="B59" s="15" t="n">
        <v>0</v>
      </c>
      <c r="C59" s="15" t="n">
        <v>0</v>
      </c>
      <c r="D59" s="15" t="n">
        <v>0</v>
      </c>
      <c r="E59" s="15" t="n">
        <v>0</v>
      </c>
      <c r="F59" s="15" t="n">
        <v>12</v>
      </c>
      <c r="G59" s="15" t="n">
        <v>20</v>
      </c>
      <c r="H59" s="15" t="n">
        <v>25</v>
      </c>
      <c r="I59" s="15" t="n">
        <v>30</v>
      </c>
      <c r="J59" s="15" t="n">
        <v>35</v>
      </c>
      <c r="K59" s="15" t="n">
        <v>40</v>
      </c>
      <c r="L59" s="15" t="n">
        <v>45</v>
      </c>
    </row>
    <row r="60" customFormat="false" ht="15" hidden="false" customHeight="false" outlineLevel="0" collapsed="false">
      <c r="A60" s="11" t="s">
        <v>106</v>
      </c>
      <c r="B60" s="15" t="n">
        <v>0</v>
      </c>
      <c r="C60" s="15" t="n">
        <v>0</v>
      </c>
      <c r="D60" s="15" t="n">
        <v>0</v>
      </c>
      <c r="E60" s="15" t="n">
        <v>0</v>
      </c>
      <c r="F60" s="15" t="n">
        <v>18</v>
      </c>
      <c r="G60" s="15" t="n">
        <v>30</v>
      </c>
      <c r="H60" s="15" t="n">
        <v>35</v>
      </c>
      <c r="I60" s="15" t="n">
        <v>40</v>
      </c>
      <c r="J60" s="15" t="n">
        <v>45</v>
      </c>
      <c r="K60" s="15" t="n">
        <v>50</v>
      </c>
      <c r="L60" s="15" t="n">
        <v>55</v>
      </c>
    </row>
    <row r="61" customFormat="false" ht="15" hidden="false" customHeight="false" outlineLevel="0" collapsed="false">
      <c r="A61" s="11" t="s">
        <v>107</v>
      </c>
      <c r="B61" s="15" t="n">
        <v>0</v>
      </c>
      <c r="C61" s="15" t="n">
        <v>0</v>
      </c>
      <c r="D61" s="15" t="n">
        <v>0</v>
      </c>
      <c r="E61" s="15" t="n">
        <v>0</v>
      </c>
      <c r="F61" s="15" t="n">
        <v>25</v>
      </c>
      <c r="G61" s="15" t="n">
        <v>40</v>
      </c>
      <c r="H61" s="15" t="n">
        <v>50</v>
      </c>
      <c r="I61" s="15" t="n">
        <v>60</v>
      </c>
      <c r="J61" s="15" t="n">
        <v>70</v>
      </c>
      <c r="K61" s="15" t="n">
        <v>80</v>
      </c>
      <c r="L61" s="15" t="n">
        <v>90</v>
      </c>
    </row>
    <row r="62" customFormat="false" ht="15" hidden="false" customHeight="false" outlineLevel="0" collapsed="false">
      <c r="A62" s="11" t="s">
        <v>108</v>
      </c>
      <c r="B62" s="15" t="n">
        <v>0</v>
      </c>
      <c r="C62" s="15" t="n">
        <v>0</v>
      </c>
      <c r="D62" s="15" t="n">
        <v>0</v>
      </c>
      <c r="E62" s="15" t="n">
        <v>0</v>
      </c>
      <c r="F62" s="15" t="n">
        <v>6</v>
      </c>
      <c r="G62" s="15" t="n">
        <v>10</v>
      </c>
      <c r="H62" s="15" t="n">
        <v>14</v>
      </c>
      <c r="I62" s="15" t="n">
        <v>18</v>
      </c>
      <c r="J62" s="15" t="n">
        <v>22</v>
      </c>
      <c r="K62" s="15" t="n">
        <v>26</v>
      </c>
      <c r="L62" s="15" t="n">
        <v>30</v>
      </c>
    </row>
    <row r="63" customFormat="false" ht="15" hidden="false" customHeight="false" outlineLevel="0" collapsed="false">
      <c r="A63" s="11" t="s">
        <v>109</v>
      </c>
      <c r="B63" s="15" t="n">
        <v>0</v>
      </c>
      <c r="C63" s="15" t="n">
        <v>0</v>
      </c>
      <c r="D63" s="15" t="n">
        <v>0</v>
      </c>
      <c r="E63" s="15" t="n">
        <v>0</v>
      </c>
      <c r="F63" s="15" t="n">
        <v>25</v>
      </c>
      <c r="G63" s="15" t="n">
        <v>40</v>
      </c>
      <c r="H63" s="15" t="n">
        <v>55</v>
      </c>
      <c r="I63" s="15" t="n">
        <v>70</v>
      </c>
      <c r="J63" s="15" t="n">
        <v>85</v>
      </c>
      <c r="K63" s="15" t="n">
        <v>100</v>
      </c>
      <c r="L63" s="15" t="n">
        <v>115</v>
      </c>
    </row>
    <row r="64" customFormat="false" ht="15" hidden="false" customHeight="false" outlineLevel="0" collapsed="false">
      <c r="A64" s="11" t="s">
        <v>110</v>
      </c>
      <c r="B64" s="15" t="n">
        <v>0</v>
      </c>
      <c r="C64" s="15" t="n">
        <v>0</v>
      </c>
      <c r="D64" s="15" t="n">
        <v>0</v>
      </c>
      <c r="E64" s="15" t="n">
        <v>0</v>
      </c>
      <c r="F64" s="15" t="n">
        <v>1</v>
      </c>
      <c r="G64" s="15" t="n">
        <v>2</v>
      </c>
      <c r="H64" s="15" t="n">
        <v>2</v>
      </c>
      <c r="I64" s="15" t="n">
        <v>3</v>
      </c>
      <c r="J64" s="15" t="n">
        <v>3</v>
      </c>
      <c r="K64" s="15" t="n">
        <v>4</v>
      </c>
      <c r="L64" s="15" t="n">
        <v>4</v>
      </c>
    </row>
    <row r="66" customFormat="false" ht="15" hidden="false" customHeight="false" outlineLevel="0" collapsed="false">
      <c r="A66" s="8" t="s">
        <v>111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customFormat="false" ht="15" hidden="false" customHeight="false" outlineLevel="0" collapsed="false">
      <c r="A67" s="11" t="s">
        <v>112</v>
      </c>
      <c r="B67" s="15" t="n">
        <v>0</v>
      </c>
      <c r="C67" s="15" t="n">
        <v>15</v>
      </c>
      <c r="D67" s="15" t="n">
        <v>25</v>
      </c>
      <c r="E67" s="15" t="n">
        <v>45</v>
      </c>
      <c r="F67" s="15" t="n">
        <v>60</v>
      </c>
      <c r="G67" s="15" t="n">
        <v>80</v>
      </c>
      <c r="H67" s="15" t="n">
        <v>95</v>
      </c>
      <c r="I67" s="15" t="n">
        <v>120</v>
      </c>
      <c r="J67" s="15" t="n">
        <v>140</v>
      </c>
      <c r="K67" s="15" t="n">
        <v>160</v>
      </c>
      <c r="L67" s="15" t="n">
        <v>180</v>
      </c>
    </row>
    <row r="68" customFormat="false" ht="15" hidden="false" customHeight="false" outlineLevel="0" collapsed="false">
      <c r="A68" s="11" t="s">
        <v>113</v>
      </c>
      <c r="B68" s="15" t="n">
        <v>0</v>
      </c>
      <c r="C68" s="15" t="n">
        <v>100</v>
      </c>
      <c r="D68" s="15" t="n">
        <v>100</v>
      </c>
      <c r="E68" s="15" t="n">
        <v>105</v>
      </c>
      <c r="F68" s="15" t="n">
        <v>110</v>
      </c>
      <c r="G68" s="15" t="n">
        <v>115</v>
      </c>
      <c r="H68" s="15" t="n">
        <v>118</v>
      </c>
      <c r="I68" s="15" t="n">
        <v>120</v>
      </c>
      <c r="J68" s="15" t="n">
        <v>122</v>
      </c>
      <c r="K68" s="15" t="n">
        <v>125</v>
      </c>
      <c r="L68" s="15" t="n">
        <v>128</v>
      </c>
    </row>
    <row r="69" customFormat="false" ht="15" hidden="false" customHeight="false" outlineLevel="0" collapsed="false">
      <c r="A69" s="11" t="s">
        <v>114</v>
      </c>
      <c r="B69" s="16" t="n">
        <v>0</v>
      </c>
      <c r="C69" s="16" t="n">
        <v>0.12</v>
      </c>
      <c r="D69" s="16" t="n">
        <v>0.1</v>
      </c>
      <c r="E69" s="16" t="n">
        <v>0.09</v>
      </c>
      <c r="F69" s="16" t="n">
        <v>0.08</v>
      </c>
      <c r="G69" s="16" t="n">
        <v>0.07</v>
      </c>
      <c r="H69" s="16" t="n">
        <v>0.06</v>
      </c>
      <c r="I69" s="16" t="n">
        <v>0.06</v>
      </c>
      <c r="J69" s="16" t="n">
        <v>0.05</v>
      </c>
      <c r="K69" s="16" t="n">
        <v>0.05</v>
      </c>
      <c r="L69" s="16" t="n">
        <v>0.05</v>
      </c>
    </row>
    <row r="70" customFormat="false" ht="15" hidden="false" customHeight="false" outlineLevel="0" collapsed="false">
      <c r="A70" s="11" t="s">
        <v>115</v>
      </c>
      <c r="B70" s="16" t="n">
        <v>0</v>
      </c>
      <c r="C70" s="16" t="n">
        <v>0.08</v>
      </c>
      <c r="D70" s="16" t="n">
        <v>0.06</v>
      </c>
      <c r="E70" s="16" t="n">
        <v>0.05</v>
      </c>
      <c r="F70" s="16" t="n">
        <v>0.04</v>
      </c>
      <c r="G70" s="16" t="n">
        <v>0.03</v>
      </c>
      <c r="H70" s="16" t="n">
        <v>0.03</v>
      </c>
      <c r="I70" s="16" t="n">
        <v>0.02</v>
      </c>
      <c r="J70" s="16" t="n">
        <v>0.02</v>
      </c>
      <c r="K70" s="16" t="n">
        <v>0.02</v>
      </c>
      <c r="L70" s="16" t="n">
        <v>0.02</v>
      </c>
    </row>
    <row r="71" customFormat="false" ht="15" hidden="false" customHeight="false" outlineLevel="0" collapsed="false">
      <c r="A71" s="11" t="s">
        <v>116</v>
      </c>
      <c r="B71" s="16" t="n">
        <v>0</v>
      </c>
      <c r="C71" s="16" t="n">
        <v>0.09</v>
      </c>
      <c r="D71" s="16" t="n">
        <v>0.07</v>
      </c>
      <c r="E71" s="16" t="n">
        <v>0.06</v>
      </c>
      <c r="F71" s="16" t="n">
        <v>0.05</v>
      </c>
      <c r="G71" s="16" t="n">
        <v>0.04</v>
      </c>
      <c r="H71" s="16" t="n">
        <v>0.04</v>
      </c>
      <c r="I71" s="16" t="n">
        <v>0.03</v>
      </c>
      <c r="J71" s="16" t="n">
        <v>0.03</v>
      </c>
      <c r="K71" s="16" t="n">
        <v>0.03</v>
      </c>
      <c r="L71" s="16" t="n">
        <v>0.03</v>
      </c>
    </row>
    <row r="72" customFormat="false" ht="15" hidden="false" customHeight="false" outlineLevel="0" collapsed="false">
      <c r="A72" s="11" t="s">
        <v>117</v>
      </c>
      <c r="B72" s="18" t="n">
        <v>0</v>
      </c>
      <c r="C72" s="18" t="n">
        <v>0.3</v>
      </c>
      <c r="D72" s="18" t="n">
        <v>0.5</v>
      </c>
      <c r="E72" s="18" t="n">
        <v>0.8</v>
      </c>
      <c r="F72" s="18" t="n">
        <v>1</v>
      </c>
      <c r="G72" s="18" t="n">
        <v>1.2</v>
      </c>
      <c r="H72" s="18" t="n">
        <v>1.3</v>
      </c>
      <c r="I72" s="18" t="n">
        <v>1.5</v>
      </c>
      <c r="J72" s="18" t="n">
        <v>1.6</v>
      </c>
      <c r="K72" s="18" t="n">
        <v>1.7</v>
      </c>
      <c r="L72" s="18" t="n">
        <v>1.8</v>
      </c>
    </row>
    <row r="73" customFormat="false" ht="15" hidden="false" customHeight="false" outlineLevel="0" collapsed="false">
      <c r="A73" s="11" t="s">
        <v>118</v>
      </c>
      <c r="B73" s="16" t="n">
        <v>0</v>
      </c>
      <c r="C73" s="16" t="n">
        <v>0.04</v>
      </c>
      <c r="D73" s="16" t="n">
        <v>0.03</v>
      </c>
      <c r="E73" s="16" t="n">
        <v>0.03</v>
      </c>
      <c r="F73" s="16" t="n">
        <v>0.02</v>
      </c>
      <c r="G73" s="16" t="n">
        <v>0.02</v>
      </c>
      <c r="H73" s="16" t="n">
        <v>0.02</v>
      </c>
      <c r="I73" s="16" t="n">
        <v>0.01</v>
      </c>
      <c r="J73" s="16" t="n">
        <v>0.01</v>
      </c>
      <c r="K73" s="16" t="n">
        <v>0.01</v>
      </c>
      <c r="L73" s="16" t="n">
        <v>0.01</v>
      </c>
    </row>
    <row r="74" customFormat="false" ht="15" hidden="false" customHeight="false" outlineLevel="0" collapsed="false">
      <c r="A74" s="11" t="s">
        <v>119</v>
      </c>
      <c r="B74" s="16" t="n">
        <v>0</v>
      </c>
      <c r="C74" s="16" t="n">
        <v>0</v>
      </c>
      <c r="D74" s="16" t="n">
        <v>0</v>
      </c>
      <c r="E74" s="16" t="n">
        <v>0.45</v>
      </c>
      <c r="F74" s="16" t="n">
        <v>0.4</v>
      </c>
      <c r="G74" s="16" t="n">
        <v>0.38</v>
      </c>
      <c r="H74" s="16" t="n">
        <v>0.36</v>
      </c>
      <c r="I74" s="16" t="n">
        <v>0.34</v>
      </c>
      <c r="J74" s="16" t="n">
        <v>0.32</v>
      </c>
      <c r="K74" s="16" t="n">
        <v>0.3</v>
      </c>
      <c r="L74" s="16" t="n">
        <v>0.28</v>
      </c>
    </row>
    <row r="75" customFormat="false" ht="15" hidden="false" customHeight="false" outlineLevel="0" collapsed="false">
      <c r="A75" s="11" t="s">
        <v>120</v>
      </c>
      <c r="B75" s="16" t="n">
        <v>0</v>
      </c>
      <c r="C75" s="16" t="n">
        <v>0</v>
      </c>
      <c r="D75" s="16" t="n">
        <v>0</v>
      </c>
      <c r="E75" s="16" t="n">
        <v>0</v>
      </c>
      <c r="F75" s="16" t="n">
        <v>0.35</v>
      </c>
      <c r="G75" s="16" t="n">
        <v>0.32</v>
      </c>
      <c r="H75" s="16" t="n">
        <v>0.3</v>
      </c>
      <c r="I75" s="16" t="n">
        <v>0.28</v>
      </c>
      <c r="J75" s="16" t="n">
        <v>0.26</v>
      </c>
      <c r="K75" s="16" t="n">
        <v>0.24</v>
      </c>
      <c r="L75" s="16" t="n">
        <v>0.22</v>
      </c>
    </row>
    <row r="76" customFormat="false" ht="15" hidden="false" customHeight="false" outlineLevel="0" collapsed="false">
      <c r="A76" s="11" t="s">
        <v>121</v>
      </c>
      <c r="B76" s="16" t="n">
        <v>0</v>
      </c>
      <c r="C76" s="16" t="n">
        <v>0</v>
      </c>
      <c r="D76" s="16" t="n">
        <v>0</v>
      </c>
      <c r="E76" s="16" t="n">
        <v>0</v>
      </c>
      <c r="F76" s="16" t="n">
        <v>0.18</v>
      </c>
      <c r="G76" s="16" t="n">
        <v>0.15</v>
      </c>
      <c r="H76" s="16" t="n">
        <v>0.13</v>
      </c>
      <c r="I76" s="16" t="n">
        <v>0.12</v>
      </c>
      <c r="J76" s="16" t="n">
        <v>0.1</v>
      </c>
      <c r="K76" s="16" t="n">
        <v>0.09</v>
      </c>
      <c r="L76" s="16" t="n">
        <v>0.08</v>
      </c>
    </row>
    <row r="78" customFormat="false" ht="15" hidden="false" customHeight="false" outlineLevel="0" collapsed="false">
      <c r="A78" s="8" t="s">
        <v>122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customFormat="false" ht="15" hidden="false" customHeight="false" outlineLevel="0" collapsed="false">
      <c r="A79" s="11" t="s">
        <v>123</v>
      </c>
      <c r="B79" s="16" t="n">
        <v>0.1</v>
      </c>
      <c r="C79" s="16" t="n">
        <v>0.1</v>
      </c>
      <c r="D79" s="16" t="n">
        <v>0.1</v>
      </c>
      <c r="E79" s="16" t="n">
        <v>0.1</v>
      </c>
      <c r="F79" s="16" t="n">
        <v>0.1</v>
      </c>
      <c r="G79" s="16" t="n">
        <v>0.1</v>
      </c>
      <c r="H79" s="16" t="n">
        <v>0.1</v>
      </c>
      <c r="I79" s="16" t="n">
        <v>0.1</v>
      </c>
      <c r="J79" s="16" t="n">
        <v>0.1</v>
      </c>
      <c r="K79" s="16" t="n">
        <v>0.1</v>
      </c>
      <c r="L79" s="16" t="n">
        <v>0.1</v>
      </c>
    </row>
    <row r="80" customFormat="false" ht="15" hidden="false" customHeight="false" outlineLevel="0" collapsed="false">
      <c r="A80" s="11" t="s">
        <v>124</v>
      </c>
      <c r="B80" s="16" t="n">
        <v>0.05</v>
      </c>
      <c r="C80" s="16" t="n">
        <v>0.05</v>
      </c>
      <c r="D80" s="16" t="n">
        <v>0.05</v>
      </c>
      <c r="E80" s="16" t="n">
        <v>0.05</v>
      </c>
      <c r="F80" s="16" t="n">
        <v>0.05</v>
      </c>
      <c r="G80" s="16" t="n">
        <v>0.05</v>
      </c>
      <c r="H80" s="16" t="n">
        <v>0.05</v>
      </c>
      <c r="I80" s="16" t="n">
        <v>0.05</v>
      </c>
      <c r="J80" s="16" t="n">
        <v>0.05</v>
      </c>
      <c r="K80" s="16" t="n">
        <v>0.05</v>
      </c>
      <c r="L80" s="16" t="n">
        <v>0.05</v>
      </c>
    </row>
    <row r="81" customFormat="false" ht="15" hidden="false" customHeight="false" outlineLevel="0" collapsed="false">
      <c r="A81" s="11" t="s">
        <v>125</v>
      </c>
      <c r="B81" s="16" t="n">
        <v>0.02</v>
      </c>
      <c r="C81" s="16" t="n">
        <v>0.02</v>
      </c>
      <c r="D81" s="16" t="n">
        <v>0.02</v>
      </c>
      <c r="E81" s="16" t="n">
        <v>0.02</v>
      </c>
      <c r="F81" s="16" t="n">
        <v>0.02</v>
      </c>
      <c r="G81" s="16" t="n">
        <v>0.02</v>
      </c>
      <c r="H81" s="16" t="n">
        <v>0.02</v>
      </c>
      <c r="I81" s="16" t="n">
        <v>0.02</v>
      </c>
      <c r="J81" s="16" t="n">
        <v>0.02</v>
      </c>
      <c r="K81" s="16" t="n">
        <v>0.02</v>
      </c>
      <c r="L81" s="16" t="n">
        <v>0.02</v>
      </c>
    </row>
    <row r="82" customFormat="false" ht="15" hidden="false" customHeight="false" outlineLevel="0" collapsed="false">
      <c r="A82" s="11" t="s">
        <v>126</v>
      </c>
      <c r="B82" s="16" t="n">
        <v>1.2</v>
      </c>
      <c r="C82" s="16" t="n">
        <v>1.2</v>
      </c>
      <c r="D82" s="16" t="n">
        <v>1.2</v>
      </c>
      <c r="E82" s="16" t="n">
        <v>1.2</v>
      </c>
      <c r="F82" s="16" t="n">
        <v>1.2</v>
      </c>
      <c r="G82" s="16" t="n">
        <v>1.2</v>
      </c>
      <c r="H82" s="16" t="n">
        <v>1.2</v>
      </c>
      <c r="I82" s="16" t="n">
        <v>1.2</v>
      </c>
      <c r="J82" s="16" t="n">
        <v>1.2</v>
      </c>
      <c r="K82" s="16" t="n">
        <v>1.2</v>
      </c>
      <c r="L82" s="16" t="n">
        <v>1.2</v>
      </c>
    </row>
    <row r="84" customFormat="false" ht="15" hidden="false" customHeight="false" outlineLevel="0" collapsed="false">
      <c r="A84" s="8" t="s">
        <v>127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customFormat="false" ht="15" hidden="false" customHeight="false" outlineLevel="0" collapsed="false">
      <c r="A85" s="11" t="s">
        <v>128</v>
      </c>
      <c r="B85" s="18" t="n">
        <v>0</v>
      </c>
      <c r="C85" s="18" t="n">
        <v>4</v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</row>
    <row r="86" customFormat="false" ht="15" hidden="false" customHeight="false" outlineLevel="0" collapsed="false">
      <c r="A86" s="11" t="s">
        <v>129</v>
      </c>
      <c r="B86" s="18" t="n">
        <v>0</v>
      </c>
      <c r="C86" s="18" t="n">
        <v>0</v>
      </c>
      <c r="D86" s="18" t="n">
        <v>13</v>
      </c>
      <c r="E86" s="18" t="n">
        <v>0</v>
      </c>
      <c r="F86" s="18" t="n">
        <v>0</v>
      </c>
      <c r="G86" s="18" t="n">
        <v>0</v>
      </c>
      <c r="H86" s="18" t="n">
        <v>0</v>
      </c>
      <c r="I86" s="18" t="n">
        <v>0</v>
      </c>
      <c r="J86" s="18" t="n">
        <v>0</v>
      </c>
      <c r="K86" s="18" t="n">
        <v>0</v>
      </c>
      <c r="L86" s="18" t="n">
        <v>0</v>
      </c>
    </row>
    <row r="87" customFormat="false" ht="15" hidden="false" customHeight="false" outlineLevel="0" collapsed="false">
      <c r="A87" s="11" t="s">
        <v>130</v>
      </c>
      <c r="B87" s="18" t="n">
        <v>0</v>
      </c>
      <c r="C87" s="18" t="n">
        <v>0</v>
      </c>
      <c r="D87" s="18" t="n">
        <v>0</v>
      </c>
      <c r="E87" s="18" t="n">
        <v>0</v>
      </c>
      <c r="F87" s="18" t="n">
        <v>40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</row>
    <row r="88" customFormat="false" ht="15" hidden="false" customHeight="false" outlineLevel="0" collapsed="false">
      <c r="A88" s="11" t="s">
        <v>131</v>
      </c>
      <c r="B88" s="18" t="n">
        <v>0</v>
      </c>
      <c r="C88" s="18" t="n">
        <v>18</v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</row>
    <row r="89" customFormat="false" ht="15" hidden="false" customHeight="false" outlineLevel="0" collapsed="false">
      <c r="A89" s="11" t="s">
        <v>132</v>
      </c>
      <c r="B89" s="18" t="n">
        <v>0</v>
      </c>
      <c r="C89" s="18" t="n">
        <v>0</v>
      </c>
      <c r="D89" s="18" t="n">
        <v>80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</row>
    <row r="90" customFormat="false" ht="15" hidden="false" customHeight="false" outlineLevel="0" collapsed="false">
      <c r="A90" s="11" t="s">
        <v>133</v>
      </c>
      <c r="B90" s="18" t="n">
        <v>0</v>
      </c>
      <c r="C90" s="18" t="n">
        <v>0</v>
      </c>
      <c r="D90" s="18" t="n">
        <v>0</v>
      </c>
      <c r="E90" s="18" t="n">
        <v>0</v>
      </c>
      <c r="F90" s="18" t="n">
        <v>333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</row>
    <row r="92" customFormat="false" ht="15" hidden="false" customHeight="false" outlineLevel="0" collapsed="false">
      <c r="A92" s="8" t="s">
        <v>134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customFormat="false" ht="15" hidden="false" customHeight="false" outlineLevel="0" collapsed="false">
      <c r="A93" s="11" t="s">
        <v>135</v>
      </c>
      <c r="B93" s="16" t="n">
        <v>0</v>
      </c>
      <c r="C93" s="16" t="n">
        <v>0</v>
      </c>
      <c r="D93" s="16" t="n">
        <v>0</v>
      </c>
      <c r="E93" s="16" t="n">
        <v>0</v>
      </c>
      <c r="F93" s="16" t="n">
        <v>0</v>
      </c>
      <c r="G93" s="16" t="n">
        <v>0</v>
      </c>
      <c r="H93" s="16" t="n">
        <v>0.05</v>
      </c>
      <c r="I93" s="16" t="n">
        <v>0.1</v>
      </c>
      <c r="J93" s="16" t="n">
        <v>0.15</v>
      </c>
      <c r="K93" s="16" t="n">
        <v>0.2</v>
      </c>
      <c r="L93" s="16" t="n">
        <v>0.2</v>
      </c>
    </row>
    <row r="94" customFormat="false" ht="15" hidden="false" customHeight="false" outlineLevel="0" collapsed="false">
      <c r="A94" s="11" t="s">
        <v>136</v>
      </c>
      <c r="B94" s="16" t="n">
        <v>0.07</v>
      </c>
      <c r="C94" s="16" t="n">
        <v>0.07</v>
      </c>
      <c r="D94" s="16" t="n">
        <v>0.07</v>
      </c>
      <c r="E94" s="16" t="n">
        <v>0.07</v>
      </c>
      <c r="F94" s="16" t="n">
        <v>0.07</v>
      </c>
      <c r="G94" s="16" t="n">
        <v>0.07</v>
      </c>
      <c r="H94" s="16" t="n">
        <v>0.07</v>
      </c>
      <c r="I94" s="16" t="n">
        <v>0.07</v>
      </c>
      <c r="J94" s="16" t="n">
        <v>0.07</v>
      </c>
      <c r="K94" s="16" t="n">
        <v>0.07</v>
      </c>
      <c r="L94" s="16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4B6"/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8" t="s">
        <v>137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10" t="s">
        <v>138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51</v>
      </c>
      <c r="L2" s="10" t="s">
        <v>52</v>
      </c>
    </row>
    <row r="3" customFormat="false" ht="15" hidden="false" customHeight="false" outlineLevel="0" collapsed="false">
      <c r="A3" s="8" t="s">
        <v>139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A4" s="19" t="s">
        <v>140</v>
      </c>
      <c r="B4" s="20" t="n">
        <f aca="false">'1. Assumptions'!B15*'1. Assumptions'!B22/1000000</f>
        <v>0</v>
      </c>
      <c r="C4" s="20" t="n">
        <f aca="false">'1. Assumptions'!C15*'1. Assumptions'!C22/1000000</f>
        <v>0</v>
      </c>
      <c r="D4" s="20" t="n">
        <f aca="false">'1. Assumptions'!D15*'1. Assumptions'!D22/1000000</f>
        <v>0.609</v>
      </c>
      <c r="E4" s="20" t="n">
        <f aca="false">'1. Assumptions'!E15*'1. Assumptions'!E22/1000000</f>
        <v>1.7226</v>
      </c>
      <c r="F4" s="20" t="n">
        <f aca="false">'1. Assumptions'!F15*'1. Assumptions'!F22/1000000</f>
        <v>3.045</v>
      </c>
      <c r="G4" s="20" t="n">
        <f aca="false">'1. Assumptions'!G15*'1. Assumptions'!G22/1000000</f>
        <v>6.1248</v>
      </c>
      <c r="H4" s="20" t="n">
        <f aca="false">'1. Assumptions'!H15*'1. Assumptions'!H22/1000000</f>
        <v>6.96</v>
      </c>
      <c r="I4" s="20" t="n">
        <f aca="false">'1. Assumptions'!I15*'1. Assumptions'!I22/1000000</f>
        <v>7.5168</v>
      </c>
      <c r="J4" s="20" t="n">
        <f aca="false">'1. Assumptions'!J15*'1. Assumptions'!J22/1000000</f>
        <v>8.7696</v>
      </c>
      <c r="K4" s="20" t="n">
        <f aca="false">'1. Assumptions'!K15*'1. Assumptions'!K22/1000000</f>
        <v>10.0224</v>
      </c>
      <c r="L4" s="20" t="n">
        <f aca="false">'1. Assumptions'!L15*'1. Assumptions'!L22/1000000</f>
        <v>12.528</v>
      </c>
    </row>
    <row r="5" customFormat="false" ht="15" hidden="false" customHeight="false" outlineLevel="0" collapsed="false">
      <c r="A5" s="19" t="s">
        <v>141</v>
      </c>
      <c r="B5" s="20" t="n">
        <f aca="false">'1. Assumptions'!B18*'1. Assumptions'!B23*1000/1000000</f>
        <v>0</v>
      </c>
      <c r="C5" s="20" t="n">
        <f aca="false">'1. Assumptions'!C18*'1. Assumptions'!C23*1000/1000000</f>
        <v>0.45</v>
      </c>
      <c r="D5" s="20" t="n">
        <f aca="false">'1. Assumptions'!D18*'1. Assumptions'!D23*1000/1000000</f>
        <v>1.5</v>
      </c>
      <c r="E5" s="20" t="n">
        <f aca="false">'1. Assumptions'!E18*'1. Assumptions'!E23*1000/1000000</f>
        <v>3.75</v>
      </c>
      <c r="F5" s="20" t="n">
        <f aca="false">'1. Assumptions'!F18*'1. Assumptions'!F23*1000/1000000</f>
        <v>7.5</v>
      </c>
      <c r="G5" s="20" t="n">
        <f aca="false">'1. Assumptions'!G18*'1. Assumptions'!G23*1000/1000000</f>
        <v>15</v>
      </c>
      <c r="H5" s="20" t="n">
        <f aca="false">'1. Assumptions'!H18*'1. Assumptions'!H23*1000/1000000</f>
        <v>18</v>
      </c>
      <c r="I5" s="20" t="n">
        <f aca="false">'1. Assumptions'!I18*'1. Assumptions'!I23*1000/1000000</f>
        <v>22.5</v>
      </c>
      <c r="J5" s="20" t="n">
        <f aca="false">'1. Assumptions'!J18*'1. Assumptions'!J23*1000/1000000</f>
        <v>25.5</v>
      </c>
      <c r="K5" s="20" t="n">
        <f aca="false">'1. Assumptions'!K18*'1. Assumptions'!K23*1000/1000000</f>
        <v>27.75</v>
      </c>
      <c r="L5" s="20" t="n">
        <f aca="false">'1. Assumptions'!L18*'1. Assumptions'!L23*1000/1000000</f>
        <v>30</v>
      </c>
    </row>
    <row r="6" customFormat="false" ht="15" hidden="false" customHeight="false" outlineLevel="0" collapsed="false">
      <c r="A6" s="19" t="s">
        <v>142</v>
      </c>
      <c r="B6" s="20" t="n">
        <f aca="false">'1. Assumptions'!B19*'1. Assumptions'!B24</f>
        <v>0</v>
      </c>
      <c r="C6" s="20" t="n">
        <f aca="false">'1. Assumptions'!C19*'1. Assumptions'!C24</f>
        <v>0</v>
      </c>
      <c r="D6" s="20" t="n">
        <f aca="false">'1. Assumptions'!D19*'1. Assumptions'!D24</f>
        <v>0</v>
      </c>
      <c r="E6" s="20" t="n">
        <f aca="false">'1. Assumptions'!E19*'1. Assumptions'!E24</f>
        <v>3</v>
      </c>
      <c r="F6" s="20" t="n">
        <f aca="false">'1. Assumptions'!F19*'1. Assumptions'!F24</f>
        <v>3</v>
      </c>
      <c r="G6" s="20" t="n">
        <f aca="false">'1. Assumptions'!G19*'1. Assumptions'!G24</f>
        <v>6</v>
      </c>
      <c r="H6" s="20" t="n">
        <f aca="false">'1. Assumptions'!H19*'1. Assumptions'!H24</f>
        <v>6</v>
      </c>
      <c r="I6" s="20" t="n">
        <f aca="false">'1. Assumptions'!I19*'1. Assumptions'!I24</f>
        <v>9</v>
      </c>
      <c r="J6" s="20" t="n">
        <f aca="false">'1. Assumptions'!J19*'1. Assumptions'!J24</f>
        <v>9</v>
      </c>
      <c r="K6" s="20" t="n">
        <f aca="false">'1. Assumptions'!K19*'1. Assumptions'!K24</f>
        <v>12</v>
      </c>
      <c r="L6" s="20" t="n">
        <f aca="false">'1. Assumptions'!L19*'1. Assumptions'!L24</f>
        <v>15</v>
      </c>
    </row>
    <row r="7" customFormat="false" ht="15" hidden="false" customHeight="false" outlineLevel="0" collapsed="false">
      <c r="A7" s="21" t="s">
        <v>143</v>
      </c>
      <c r="B7" s="22" t="n">
        <f aca="false">SUM(B4:B6)</f>
        <v>0</v>
      </c>
      <c r="C7" s="22" t="n">
        <f aca="false">SUM(C4:C6)</f>
        <v>0.45</v>
      </c>
      <c r="D7" s="22" t="n">
        <f aca="false">SUM(D4:D6)</f>
        <v>2.109</v>
      </c>
      <c r="E7" s="22" t="n">
        <f aca="false">SUM(E4:E6)</f>
        <v>8.4726</v>
      </c>
      <c r="F7" s="22" t="n">
        <f aca="false">SUM(F4:F6)</f>
        <v>13.545</v>
      </c>
      <c r="G7" s="22" t="n">
        <f aca="false">SUM(G4:G6)</f>
        <v>27.1248</v>
      </c>
      <c r="H7" s="22" t="n">
        <f aca="false">SUM(H4:H6)</f>
        <v>30.96</v>
      </c>
      <c r="I7" s="22" t="n">
        <f aca="false">SUM(I4:I6)</f>
        <v>39.0168</v>
      </c>
      <c r="J7" s="22" t="n">
        <f aca="false">SUM(J4:J6)</f>
        <v>43.2696</v>
      </c>
      <c r="K7" s="22" t="n">
        <f aca="false">SUM(K4:K6)</f>
        <v>49.7724</v>
      </c>
      <c r="L7" s="22" t="n">
        <f aca="false">SUM(L4:L6)</f>
        <v>57.528</v>
      </c>
    </row>
    <row r="9" customFormat="false" ht="15" hidden="false" customHeight="false" outlineLevel="0" collapsed="false">
      <c r="A9" s="8" t="s">
        <v>144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false" outlineLevel="0" collapsed="false">
      <c r="A10" s="19" t="s">
        <v>145</v>
      </c>
      <c r="B10" s="20" t="n">
        <f aca="false">'1. Assumptions'!B46*'1. Assumptions'!B25/1000000</f>
        <v>0</v>
      </c>
      <c r="C10" s="20" t="n">
        <f aca="false">'1. Assumptions'!C46*'1. Assumptions'!C25/1000000</f>
        <v>1.4</v>
      </c>
      <c r="D10" s="20" t="n">
        <f aca="false">'1. Assumptions'!D46*'1. Assumptions'!D25/1000000</f>
        <v>1.7</v>
      </c>
      <c r="E10" s="20" t="n">
        <f aca="false">'1. Assumptions'!E46*'1. Assumptions'!E25/1000000</f>
        <v>1.9</v>
      </c>
      <c r="F10" s="20" t="n">
        <f aca="false">'1. Assumptions'!F46*'1. Assumptions'!F25/1000000</f>
        <v>1.96</v>
      </c>
      <c r="G10" s="20" t="n">
        <f aca="false">'1. Assumptions'!G46*'1. Assumptions'!G25/1000000</f>
        <v>2</v>
      </c>
      <c r="H10" s="20" t="n">
        <f aca="false">'1. Assumptions'!H46*'1. Assumptions'!H25/1000000</f>
        <v>2.2</v>
      </c>
      <c r="I10" s="20" t="n">
        <f aca="false">'1. Assumptions'!I46*'1. Assumptions'!I25/1000000</f>
        <v>2.4</v>
      </c>
      <c r="J10" s="20" t="n">
        <f aca="false">'1. Assumptions'!J46*'1. Assumptions'!J25/1000000</f>
        <v>2.6</v>
      </c>
      <c r="K10" s="20" t="n">
        <f aca="false">'1. Assumptions'!K46*'1. Assumptions'!K25/1000000</f>
        <v>2.8</v>
      </c>
      <c r="L10" s="20" t="n">
        <f aca="false">'1. Assumptions'!L46*'1. Assumptions'!L25/1000000</f>
        <v>3</v>
      </c>
    </row>
    <row r="11" customFormat="false" ht="15" hidden="false" customHeight="false" outlineLevel="0" collapsed="false">
      <c r="A11" s="19" t="s">
        <v>146</v>
      </c>
      <c r="B11" s="20" t="n">
        <f aca="false">'1. Assumptions'!B47*'1. Assumptions'!B26/1000000</f>
        <v>0</v>
      </c>
      <c r="C11" s="20" t="n">
        <f aca="false">'1. Assumptions'!C47*'1. Assumptions'!C26/1000000</f>
        <v>1.225</v>
      </c>
      <c r="D11" s="20" t="n">
        <f aca="false">'1. Assumptions'!D47*'1. Assumptions'!D26/1000000</f>
        <v>1.47</v>
      </c>
      <c r="E11" s="20" t="n">
        <f aca="false">'1. Assumptions'!E47*'1. Assumptions'!E26/1000000</f>
        <v>1.68</v>
      </c>
      <c r="F11" s="20" t="n">
        <f aca="false">'1. Assumptions'!F47*'1. Assumptions'!F26/1000000</f>
        <v>1.715</v>
      </c>
      <c r="G11" s="20" t="n">
        <f aca="false">'1. Assumptions'!G47*'1. Assumptions'!G26/1000000</f>
        <v>1.75</v>
      </c>
      <c r="H11" s="20" t="n">
        <f aca="false">'1. Assumptions'!H47*'1. Assumptions'!H26/1000000</f>
        <v>1.925</v>
      </c>
      <c r="I11" s="20" t="n">
        <f aca="false">'1. Assumptions'!I47*'1. Assumptions'!I26/1000000</f>
        <v>2.1</v>
      </c>
      <c r="J11" s="20" t="n">
        <f aca="false">'1. Assumptions'!J47*'1. Assumptions'!J26/1000000</f>
        <v>2.275</v>
      </c>
      <c r="K11" s="20" t="n">
        <f aca="false">'1. Assumptions'!K47*'1. Assumptions'!K26/1000000</f>
        <v>2.45</v>
      </c>
      <c r="L11" s="20" t="n">
        <f aca="false">'1. Assumptions'!L47*'1. Assumptions'!L26/1000000</f>
        <v>2.625</v>
      </c>
    </row>
    <row r="12" customFormat="false" ht="15" hidden="false" customHeight="false" outlineLevel="0" collapsed="false">
      <c r="A12" s="19" t="s">
        <v>147</v>
      </c>
      <c r="B12" s="20" t="n">
        <f aca="false">'1. Assumptions'!B48*'1. Assumptions'!B27/1000000</f>
        <v>0</v>
      </c>
      <c r="C12" s="20" t="n">
        <f aca="false">'1. Assumptions'!C48*'1. Assumptions'!C27/1000000</f>
        <v>0.7</v>
      </c>
      <c r="D12" s="20" t="n">
        <f aca="false">'1. Assumptions'!D48*'1. Assumptions'!D27/1000000</f>
        <v>0.85</v>
      </c>
      <c r="E12" s="20" t="n">
        <f aca="false">'1. Assumptions'!E48*'1. Assumptions'!E27/1000000</f>
        <v>0.95</v>
      </c>
      <c r="F12" s="20" t="n">
        <f aca="false">'1. Assumptions'!F48*'1. Assumptions'!F27/1000000</f>
        <v>0.975</v>
      </c>
      <c r="G12" s="20" t="n">
        <f aca="false">'1. Assumptions'!G48*'1. Assumptions'!G27/1000000</f>
        <v>1</v>
      </c>
      <c r="H12" s="20" t="n">
        <f aca="false">'1. Assumptions'!H48*'1. Assumptions'!H27/1000000</f>
        <v>1.1</v>
      </c>
      <c r="I12" s="20" t="n">
        <f aca="false">'1. Assumptions'!I48*'1. Assumptions'!I27/1000000</f>
        <v>1.2</v>
      </c>
      <c r="J12" s="20" t="n">
        <f aca="false">'1. Assumptions'!J48*'1. Assumptions'!J27/1000000</f>
        <v>1.3</v>
      </c>
      <c r="K12" s="20" t="n">
        <f aca="false">'1. Assumptions'!K48*'1. Assumptions'!K27/1000000</f>
        <v>1.4</v>
      </c>
      <c r="L12" s="20" t="n">
        <f aca="false">'1. Assumptions'!L48*'1. Assumptions'!L27/1000000</f>
        <v>1.5</v>
      </c>
    </row>
    <row r="13" customFormat="false" ht="15" hidden="false" customHeight="false" outlineLevel="0" collapsed="false">
      <c r="A13" s="19" t="s">
        <v>148</v>
      </c>
      <c r="B13" s="20" t="n">
        <f aca="false">'1. Assumptions'!B49*'1. Assumptions'!B28/1000000</f>
        <v>0</v>
      </c>
      <c r="C13" s="20" t="n">
        <f aca="false">'1. Assumptions'!C49*'1. Assumptions'!C28/1000000</f>
        <v>0.99</v>
      </c>
      <c r="D13" s="20" t="n">
        <f aca="false">'1. Assumptions'!D49*'1. Assumptions'!D28/1000000</f>
        <v>1.782</v>
      </c>
      <c r="E13" s="20" t="n">
        <f aca="false">'1. Assumptions'!E49*'1. Assumptions'!E28/1000000</f>
        <v>2.475</v>
      </c>
      <c r="F13" s="20" t="n">
        <f aca="false">'1. Assumptions'!F49*'1. Assumptions'!F28/1000000</f>
        <v>2.772</v>
      </c>
      <c r="G13" s="20" t="n">
        <f aca="false">'1. Assumptions'!G49*'1. Assumptions'!G28/1000000</f>
        <v>2.97</v>
      </c>
      <c r="H13" s="20" t="n">
        <f aca="false">'1. Assumptions'!H49*'1. Assumptions'!H28/1000000</f>
        <v>3.762</v>
      </c>
      <c r="I13" s="20" t="n">
        <f aca="false">'1. Assumptions'!I49*'1. Assumptions'!I28/1000000</f>
        <v>4.455</v>
      </c>
      <c r="J13" s="20" t="n">
        <f aca="false">'1. Assumptions'!J49*'1. Assumptions'!J28/1000000</f>
        <v>5.148</v>
      </c>
      <c r="K13" s="20" t="n">
        <f aca="false">'1. Assumptions'!K49*'1. Assumptions'!K28/1000000</f>
        <v>5.94</v>
      </c>
      <c r="L13" s="20" t="n">
        <f aca="false">'1. Assumptions'!L49*'1. Assumptions'!L28/1000000</f>
        <v>6.93</v>
      </c>
    </row>
    <row r="14" customFormat="false" ht="15" hidden="false" customHeight="false" outlineLevel="0" collapsed="false">
      <c r="A14" s="19" t="s">
        <v>149</v>
      </c>
      <c r="B14" s="20" t="n">
        <f aca="false">'1. Assumptions'!B50*'1. Assumptions'!B29/1000000</f>
        <v>0</v>
      </c>
      <c r="C14" s="20" t="n">
        <f aca="false">'1. Assumptions'!C50*'1. Assumptions'!C29/1000000</f>
        <v>1.08</v>
      </c>
      <c r="D14" s="20" t="n">
        <f aca="false">'1. Assumptions'!D50*'1. Assumptions'!D29/1000000</f>
        <v>1.8</v>
      </c>
      <c r="E14" s="20" t="n">
        <f aca="false">'1. Assumptions'!E50*'1. Assumptions'!E29/1000000</f>
        <v>2.4</v>
      </c>
      <c r="F14" s="20" t="n">
        <f aca="false">'1. Assumptions'!F50*'1. Assumptions'!F29/1000000</f>
        <v>2.7</v>
      </c>
      <c r="G14" s="20" t="n">
        <f aca="false">'1. Assumptions'!G50*'1. Assumptions'!G29/1000000</f>
        <v>3</v>
      </c>
      <c r="H14" s="20" t="n">
        <f aca="false">'1. Assumptions'!H50*'1. Assumptions'!H29/1000000</f>
        <v>3.3</v>
      </c>
      <c r="I14" s="20" t="n">
        <f aca="false">'1. Assumptions'!I50*'1. Assumptions'!I29/1000000</f>
        <v>3.6</v>
      </c>
      <c r="J14" s="20" t="n">
        <f aca="false">'1. Assumptions'!J50*'1. Assumptions'!J29/1000000</f>
        <v>3.9</v>
      </c>
      <c r="K14" s="20" t="n">
        <f aca="false">'1. Assumptions'!K50*'1. Assumptions'!K29/1000000</f>
        <v>4.2</v>
      </c>
      <c r="L14" s="20" t="n">
        <f aca="false">'1. Assumptions'!L50*'1. Assumptions'!L29/1000000</f>
        <v>4.5</v>
      </c>
    </row>
    <row r="15" customFormat="false" ht="15" hidden="false" customHeight="false" outlineLevel="0" collapsed="false">
      <c r="A15" s="21" t="s">
        <v>150</v>
      </c>
      <c r="B15" s="22" t="n">
        <f aca="false">SUM(B10:B14)</f>
        <v>0</v>
      </c>
      <c r="C15" s="22" t="n">
        <f aca="false">SUM(C10:C14)</f>
        <v>5.395</v>
      </c>
      <c r="D15" s="22" t="n">
        <f aca="false">SUM(D10:D14)</f>
        <v>7.602</v>
      </c>
      <c r="E15" s="22" t="n">
        <f aca="false">SUM(E10:E14)</f>
        <v>9.405</v>
      </c>
      <c r="F15" s="22" t="n">
        <f aca="false">SUM(F10:F14)</f>
        <v>10.122</v>
      </c>
      <c r="G15" s="22" t="n">
        <f aca="false">SUM(G10:G14)</f>
        <v>10.72</v>
      </c>
      <c r="H15" s="22" t="n">
        <f aca="false">SUM(H10:H14)</f>
        <v>12.287</v>
      </c>
      <c r="I15" s="22" t="n">
        <f aca="false">SUM(I10:I14)</f>
        <v>13.755</v>
      </c>
      <c r="J15" s="22" t="n">
        <f aca="false">SUM(J10:J14)</f>
        <v>15.223</v>
      </c>
      <c r="K15" s="22" t="n">
        <f aca="false">SUM(K10:K14)</f>
        <v>16.79</v>
      </c>
      <c r="L15" s="22" t="n">
        <f aca="false">SUM(L10:L14)</f>
        <v>18.555</v>
      </c>
    </row>
    <row r="17" customFormat="false" ht="15" hidden="false" customHeight="false" outlineLevel="0" collapsed="false">
      <c r="A17" s="8" t="s">
        <v>151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19" t="s">
        <v>152</v>
      </c>
      <c r="B18" s="20" t="n">
        <f aca="false">'1. Assumptions'!B51*'1. Assumptions'!B30/1000000</f>
        <v>0</v>
      </c>
      <c r="C18" s="20" t="n">
        <f aca="false">'1. Assumptions'!C51*'1. Assumptions'!C30/1000000</f>
        <v>0</v>
      </c>
      <c r="D18" s="20" t="n">
        <f aca="false">'1. Assumptions'!D51*'1. Assumptions'!D30/1000000</f>
        <v>0</v>
      </c>
      <c r="E18" s="20" t="n">
        <f aca="false">'1. Assumptions'!E51*'1. Assumptions'!E30/1000000</f>
        <v>0.2</v>
      </c>
      <c r="F18" s="20" t="n">
        <f aca="false">'1. Assumptions'!F51*'1. Assumptions'!F30/1000000</f>
        <v>0.35</v>
      </c>
      <c r="G18" s="20" t="n">
        <f aca="false">'1. Assumptions'!G51*'1. Assumptions'!G30/1000000</f>
        <v>0.4</v>
      </c>
      <c r="H18" s="20" t="n">
        <f aca="false">'1. Assumptions'!H51*'1. Assumptions'!H30/1000000</f>
        <v>0.5</v>
      </c>
      <c r="I18" s="20" t="n">
        <f aca="false">'1. Assumptions'!I51*'1. Assumptions'!I30/1000000</f>
        <v>0.6</v>
      </c>
      <c r="J18" s="20" t="n">
        <f aca="false">'1. Assumptions'!J51*'1. Assumptions'!J30/1000000</f>
        <v>0.7</v>
      </c>
      <c r="K18" s="20" t="n">
        <f aca="false">'1. Assumptions'!K51*'1. Assumptions'!K30/1000000</f>
        <v>0.8</v>
      </c>
      <c r="L18" s="20" t="n">
        <f aca="false">'1. Assumptions'!L51*'1. Assumptions'!L30/1000000</f>
        <v>0.9</v>
      </c>
    </row>
    <row r="19" customFormat="false" ht="15" hidden="false" customHeight="false" outlineLevel="0" collapsed="false">
      <c r="A19" s="19" t="s">
        <v>153</v>
      </c>
      <c r="B19" s="20" t="n">
        <f aca="false">'1. Assumptions'!B52*'1. Assumptions'!B31/1000000</f>
        <v>0</v>
      </c>
      <c r="C19" s="20" t="n">
        <f aca="false">'1. Assumptions'!C52*'1. Assumptions'!C31/1000000</f>
        <v>0</v>
      </c>
      <c r="D19" s="20" t="n">
        <f aca="false">'1. Assumptions'!D52*'1. Assumptions'!D31/1000000</f>
        <v>0</v>
      </c>
      <c r="E19" s="20" t="n">
        <f aca="false">'1. Assumptions'!E52*'1. Assumptions'!E31/1000000</f>
        <v>3</v>
      </c>
      <c r="F19" s="20" t="n">
        <f aca="false">'1. Assumptions'!F52*'1. Assumptions'!F31/1000000</f>
        <v>7.5</v>
      </c>
      <c r="G19" s="20" t="n">
        <f aca="false">'1. Assumptions'!G52*'1. Assumptions'!G31/1000000</f>
        <v>10</v>
      </c>
      <c r="H19" s="20" t="n">
        <f aca="false">'1. Assumptions'!H52*'1. Assumptions'!H31/1000000</f>
        <v>14</v>
      </c>
      <c r="I19" s="20" t="n">
        <f aca="false">'1. Assumptions'!I52*'1. Assumptions'!I31/1000000</f>
        <v>17.5</v>
      </c>
      <c r="J19" s="20" t="n">
        <f aca="false">'1. Assumptions'!J52*'1. Assumptions'!J31/1000000</f>
        <v>20</v>
      </c>
      <c r="K19" s="20" t="n">
        <f aca="false">'1. Assumptions'!K52*'1. Assumptions'!K31/1000000</f>
        <v>22.5</v>
      </c>
      <c r="L19" s="20" t="n">
        <f aca="false">'1. Assumptions'!L52*'1. Assumptions'!L31/1000000</f>
        <v>25</v>
      </c>
    </row>
    <row r="20" customFormat="false" ht="15" hidden="false" customHeight="false" outlineLevel="0" collapsed="false">
      <c r="A20" s="19" t="s">
        <v>154</v>
      </c>
      <c r="B20" s="20" t="n">
        <f aca="false">'1. Assumptions'!B53*'1. Assumptions'!B32/1000000</f>
        <v>0</v>
      </c>
      <c r="C20" s="20" t="n">
        <f aca="false">'1. Assumptions'!C53*'1. Assumptions'!C32/1000000</f>
        <v>0</v>
      </c>
      <c r="D20" s="20" t="n">
        <f aca="false">'1. Assumptions'!D53*'1. Assumptions'!D32/1000000</f>
        <v>0</v>
      </c>
      <c r="E20" s="20" t="n">
        <f aca="false">'1. Assumptions'!E53*'1. Assumptions'!E32/1000000</f>
        <v>0.5</v>
      </c>
      <c r="F20" s="20" t="n">
        <f aca="false">'1. Assumptions'!F53*'1. Assumptions'!F32/1000000</f>
        <v>0.8</v>
      </c>
      <c r="G20" s="20" t="n">
        <f aca="false">'1. Assumptions'!G53*'1. Assumptions'!G32/1000000</f>
        <v>1</v>
      </c>
      <c r="H20" s="20" t="n">
        <f aca="false">'1. Assumptions'!H53*'1. Assumptions'!H32/1000000</f>
        <v>1.4</v>
      </c>
      <c r="I20" s="20" t="n">
        <f aca="false">'1. Assumptions'!I53*'1. Assumptions'!I32/1000000</f>
        <v>1.8</v>
      </c>
      <c r="J20" s="20" t="n">
        <f aca="false">'1. Assumptions'!J53*'1. Assumptions'!J32/1000000</f>
        <v>2.2</v>
      </c>
      <c r="K20" s="20" t="n">
        <f aca="false">'1. Assumptions'!K53*'1. Assumptions'!K32/1000000</f>
        <v>2.6</v>
      </c>
      <c r="L20" s="20" t="n">
        <f aca="false">'1. Assumptions'!L53*'1. Assumptions'!L32/1000000</f>
        <v>3</v>
      </c>
    </row>
    <row r="21" customFormat="false" ht="15" hidden="false" customHeight="false" outlineLevel="0" collapsed="false">
      <c r="A21" s="19" t="s">
        <v>155</v>
      </c>
      <c r="B21" s="20" t="n">
        <f aca="false">'1. Assumptions'!B54*'1. Assumptions'!B33/1000000</f>
        <v>0</v>
      </c>
      <c r="C21" s="20" t="n">
        <f aca="false">'1. Assumptions'!C54*'1. Assumptions'!C33/1000000</f>
        <v>0</v>
      </c>
      <c r="D21" s="20" t="n">
        <f aca="false">'1. Assumptions'!D54*'1. Assumptions'!D33/1000000</f>
        <v>0</v>
      </c>
      <c r="E21" s="20" t="n">
        <f aca="false">'1. Assumptions'!E54*'1. Assumptions'!E33/1000000</f>
        <v>0.6</v>
      </c>
      <c r="F21" s="20" t="n">
        <f aca="false">'1. Assumptions'!F54*'1. Assumptions'!F33/1000000</f>
        <v>0.8</v>
      </c>
      <c r="G21" s="20" t="n">
        <f aca="false">'1. Assumptions'!G54*'1. Assumptions'!G33/1000000</f>
        <v>1</v>
      </c>
      <c r="H21" s="20" t="n">
        <f aca="false">'1. Assumptions'!H54*'1. Assumptions'!H33/1000000</f>
        <v>1.2</v>
      </c>
      <c r="I21" s="20" t="n">
        <f aca="false">'1. Assumptions'!I54*'1. Assumptions'!I33/1000000</f>
        <v>1.4</v>
      </c>
      <c r="J21" s="20" t="n">
        <f aca="false">'1. Assumptions'!J54*'1. Assumptions'!J33/1000000</f>
        <v>1.6</v>
      </c>
      <c r="K21" s="20" t="n">
        <f aca="false">'1. Assumptions'!K54*'1. Assumptions'!K33/1000000</f>
        <v>1.8</v>
      </c>
      <c r="L21" s="20" t="n">
        <f aca="false">'1. Assumptions'!L54*'1. Assumptions'!L33/1000000</f>
        <v>2</v>
      </c>
    </row>
    <row r="22" customFormat="false" ht="15" hidden="false" customHeight="false" outlineLevel="0" collapsed="false">
      <c r="A22" s="21" t="s">
        <v>156</v>
      </c>
      <c r="B22" s="22" t="n">
        <f aca="false">SUM(B18:B21)</f>
        <v>0</v>
      </c>
      <c r="C22" s="22" t="n">
        <f aca="false">SUM(C18:C21)</f>
        <v>0</v>
      </c>
      <c r="D22" s="22" t="n">
        <f aca="false">SUM(D18:D21)</f>
        <v>0</v>
      </c>
      <c r="E22" s="22" t="n">
        <f aca="false">SUM(E18:E21)</f>
        <v>4.3</v>
      </c>
      <c r="F22" s="22" t="n">
        <f aca="false">SUM(F18:F21)</f>
        <v>9.45</v>
      </c>
      <c r="G22" s="22" t="n">
        <f aca="false">SUM(G18:G21)</f>
        <v>12.4</v>
      </c>
      <c r="H22" s="22" t="n">
        <f aca="false">SUM(H18:H21)</f>
        <v>17.1</v>
      </c>
      <c r="I22" s="22" t="n">
        <f aca="false">SUM(I18:I21)</f>
        <v>21.3</v>
      </c>
      <c r="J22" s="22" t="n">
        <f aca="false">SUM(J18:J21)</f>
        <v>24.5</v>
      </c>
      <c r="K22" s="22" t="n">
        <f aca="false">SUM(K18:K21)</f>
        <v>27.7</v>
      </c>
      <c r="L22" s="22" t="n">
        <f aca="false">SUM(L18:L21)</f>
        <v>30.9</v>
      </c>
    </row>
    <row r="24" customFormat="false" ht="15" hidden="false" customHeight="false" outlineLevel="0" collapsed="false">
      <c r="A24" s="8" t="s">
        <v>157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customFormat="false" ht="15" hidden="false" customHeight="false" outlineLevel="0" collapsed="false">
      <c r="A25" s="19" t="s">
        <v>158</v>
      </c>
      <c r="B25" s="20" t="n">
        <f aca="false">'1. Assumptions'!B55*'1. Assumptions'!B34/1000000</f>
        <v>0</v>
      </c>
      <c r="C25" s="20" t="n">
        <f aca="false">'1. Assumptions'!C55*'1. Assumptions'!C34/1000000</f>
        <v>0</v>
      </c>
      <c r="D25" s="20" t="n">
        <f aca="false">'1. Assumptions'!D55*'1. Assumptions'!D34/1000000</f>
        <v>0.3</v>
      </c>
      <c r="E25" s="20" t="n">
        <f aca="false">'1. Assumptions'!E55*'1. Assumptions'!E34/1000000</f>
        <v>0.7</v>
      </c>
      <c r="F25" s="20" t="n">
        <f aca="false">'1. Assumptions'!F55*'1. Assumptions'!F34/1000000</f>
        <v>0.9</v>
      </c>
      <c r="G25" s="20" t="n">
        <f aca="false">'1. Assumptions'!G55*'1. Assumptions'!G34/1000000</f>
        <v>1</v>
      </c>
      <c r="H25" s="20" t="n">
        <f aca="false">'1. Assumptions'!H55*'1. Assumptions'!H34/1000000</f>
        <v>1.2</v>
      </c>
      <c r="I25" s="20" t="n">
        <f aca="false">'1. Assumptions'!I55*'1. Assumptions'!I34/1000000</f>
        <v>1.4</v>
      </c>
      <c r="J25" s="20" t="n">
        <f aca="false">'1. Assumptions'!J55*'1. Assumptions'!J34/1000000</f>
        <v>1.6</v>
      </c>
      <c r="K25" s="20" t="n">
        <f aca="false">'1. Assumptions'!K55*'1. Assumptions'!K34/1000000</f>
        <v>1.8</v>
      </c>
      <c r="L25" s="20" t="n">
        <f aca="false">'1. Assumptions'!L55*'1. Assumptions'!L34/1000000</f>
        <v>2</v>
      </c>
    </row>
    <row r="26" customFormat="false" ht="15" hidden="false" customHeight="false" outlineLevel="0" collapsed="false">
      <c r="A26" s="19" t="s">
        <v>159</v>
      </c>
      <c r="B26" s="20" t="n">
        <f aca="false">'1. Assumptions'!B56*'1. Assumptions'!B35/1000000</f>
        <v>0</v>
      </c>
      <c r="C26" s="20" t="n">
        <f aca="false">'1. Assumptions'!C56*'1. Assumptions'!C35/1000000</f>
        <v>0</v>
      </c>
      <c r="D26" s="20" t="n">
        <f aca="false">'1. Assumptions'!D56*'1. Assumptions'!D35/1000000</f>
        <v>0.24</v>
      </c>
      <c r="E26" s="20" t="n">
        <f aca="false">'1. Assumptions'!E56*'1. Assumptions'!E35/1000000</f>
        <v>0.6</v>
      </c>
      <c r="F26" s="20" t="n">
        <f aca="false">'1. Assumptions'!F56*'1. Assumptions'!F35/1000000</f>
        <v>0.75</v>
      </c>
      <c r="G26" s="20" t="n">
        <f aca="false">'1. Assumptions'!G56*'1. Assumptions'!G35/1000000</f>
        <v>0.9</v>
      </c>
      <c r="H26" s="20" t="n">
        <f aca="false">'1. Assumptions'!H56*'1. Assumptions'!H35/1000000</f>
        <v>1.05</v>
      </c>
      <c r="I26" s="20" t="n">
        <f aca="false">'1. Assumptions'!I56*'1. Assumptions'!I35/1000000</f>
        <v>1.2</v>
      </c>
      <c r="J26" s="20" t="n">
        <f aca="false">'1. Assumptions'!J56*'1. Assumptions'!J35/1000000</f>
        <v>1.35</v>
      </c>
      <c r="K26" s="20" t="n">
        <f aca="false">'1. Assumptions'!K56*'1. Assumptions'!K35/1000000</f>
        <v>1.5</v>
      </c>
      <c r="L26" s="20" t="n">
        <f aca="false">'1. Assumptions'!L56*'1. Assumptions'!L35/1000000</f>
        <v>1.65</v>
      </c>
    </row>
    <row r="27" customFormat="false" ht="15" hidden="false" customHeight="false" outlineLevel="0" collapsed="false">
      <c r="A27" s="19" t="s">
        <v>160</v>
      </c>
      <c r="B27" s="20" t="n">
        <f aca="false">'1. Assumptions'!B57*'1. Assumptions'!B36/1000000</f>
        <v>0</v>
      </c>
      <c r="C27" s="20" t="n">
        <f aca="false">'1. Assumptions'!C57*'1. Assumptions'!C36/1000000</f>
        <v>0</v>
      </c>
      <c r="D27" s="20" t="n">
        <f aca="false">'1. Assumptions'!D57*'1. Assumptions'!D36/1000000</f>
        <v>0.3</v>
      </c>
      <c r="E27" s="20" t="n">
        <f aca="false">'1. Assumptions'!E57*'1. Assumptions'!E36/1000000</f>
        <v>0.7</v>
      </c>
      <c r="F27" s="20" t="n">
        <f aca="false">'1. Assumptions'!F57*'1. Assumptions'!F36/1000000</f>
        <v>0.9</v>
      </c>
      <c r="G27" s="20" t="n">
        <f aca="false">'1. Assumptions'!G57*'1. Assumptions'!G36/1000000</f>
        <v>1</v>
      </c>
      <c r="H27" s="20" t="n">
        <f aca="false">'1. Assumptions'!H57*'1. Assumptions'!H36/1000000</f>
        <v>1.2</v>
      </c>
      <c r="I27" s="20" t="n">
        <f aca="false">'1. Assumptions'!I57*'1. Assumptions'!I36/1000000</f>
        <v>1.4</v>
      </c>
      <c r="J27" s="20" t="n">
        <f aca="false">'1. Assumptions'!J57*'1. Assumptions'!J36/1000000</f>
        <v>1.6</v>
      </c>
      <c r="K27" s="20" t="n">
        <f aca="false">'1. Assumptions'!K57*'1. Assumptions'!K36/1000000</f>
        <v>1.8</v>
      </c>
      <c r="L27" s="20" t="n">
        <f aca="false">'1. Assumptions'!L57*'1. Assumptions'!L36/1000000</f>
        <v>2</v>
      </c>
    </row>
    <row r="28" customFormat="false" ht="15" hidden="false" customHeight="false" outlineLevel="0" collapsed="false">
      <c r="A28" s="19" t="s">
        <v>161</v>
      </c>
      <c r="B28" s="20" t="n">
        <f aca="false">'1. Assumptions'!B58*'1. Assumptions'!B37/1000000</f>
        <v>0</v>
      </c>
      <c r="C28" s="20" t="n">
        <f aca="false">'1. Assumptions'!C58*'1. Assumptions'!C37/1000000</f>
        <v>0</v>
      </c>
      <c r="D28" s="20" t="n">
        <f aca="false">'1. Assumptions'!D58*'1. Assumptions'!D37/1000000</f>
        <v>0.03</v>
      </c>
      <c r="E28" s="20" t="n">
        <f aca="false">'1. Assumptions'!E58*'1. Assumptions'!E37/1000000</f>
        <v>0.06</v>
      </c>
      <c r="F28" s="20" t="n">
        <f aca="false">'1. Assumptions'!F58*'1. Assumptions'!F37/1000000</f>
        <v>0.08</v>
      </c>
      <c r="G28" s="20" t="n">
        <f aca="false">'1. Assumptions'!G58*'1. Assumptions'!G37/1000000</f>
        <v>0.1</v>
      </c>
      <c r="H28" s="20" t="n">
        <f aca="false">'1. Assumptions'!H58*'1. Assumptions'!H37/1000000</f>
        <v>0.12</v>
      </c>
      <c r="I28" s="20" t="n">
        <f aca="false">'1. Assumptions'!I58*'1. Assumptions'!I37/1000000</f>
        <v>0.14</v>
      </c>
      <c r="J28" s="20" t="n">
        <f aca="false">'1. Assumptions'!J58*'1. Assumptions'!J37/1000000</f>
        <v>0.16</v>
      </c>
      <c r="K28" s="20" t="n">
        <f aca="false">'1. Assumptions'!K58*'1. Assumptions'!K37/1000000</f>
        <v>0.18</v>
      </c>
      <c r="L28" s="20" t="n">
        <f aca="false">'1. Assumptions'!L58*'1. Assumptions'!L37/1000000</f>
        <v>0.2</v>
      </c>
    </row>
    <row r="29" customFormat="false" ht="15" hidden="false" customHeight="false" outlineLevel="0" collapsed="false">
      <c r="A29" s="21" t="s">
        <v>162</v>
      </c>
      <c r="B29" s="22" t="n">
        <f aca="false">SUM(B25:B28)</f>
        <v>0</v>
      </c>
      <c r="C29" s="22" t="n">
        <f aca="false">SUM(C25:C28)</f>
        <v>0</v>
      </c>
      <c r="D29" s="22" t="n">
        <f aca="false">SUM(D25:D28)</f>
        <v>0.87</v>
      </c>
      <c r="E29" s="22" t="n">
        <f aca="false">SUM(E25:E28)</f>
        <v>2.06</v>
      </c>
      <c r="F29" s="22" t="n">
        <f aca="false">SUM(F25:F28)</f>
        <v>2.63</v>
      </c>
      <c r="G29" s="22" t="n">
        <f aca="false">SUM(G25:G28)</f>
        <v>3</v>
      </c>
      <c r="H29" s="22" t="n">
        <f aca="false">SUM(H25:H28)</f>
        <v>3.57</v>
      </c>
      <c r="I29" s="22" t="n">
        <f aca="false">SUM(I25:I28)</f>
        <v>4.14</v>
      </c>
      <c r="J29" s="22" t="n">
        <f aca="false">SUM(J25:J28)</f>
        <v>4.71</v>
      </c>
      <c r="K29" s="22" t="n">
        <f aca="false">SUM(K25:K28)</f>
        <v>5.28</v>
      </c>
      <c r="L29" s="22" t="n">
        <f aca="false">SUM(L25:L28)</f>
        <v>5.85</v>
      </c>
    </row>
    <row r="31" customFormat="false" ht="15" hidden="false" customHeight="false" outlineLevel="0" collapsed="false">
      <c r="A31" s="8" t="s">
        <v>163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customFormat="false" ht="15" hidden="false" customHeight="false" outlineLevel="0" collapsed="false">
      <c r="A32" s="19" t="s">
        <v>164</v>
      </c>
      <c r="B32" s="20" t="n">
        <f aca="false">'1. Assumptions'!B59*'1. Assumptions'!B38/1000000</f>
        <v>0</v>
      </c>
      <c r="C32" s="20" t="n">
        <f aca="false">'1. Assumptions'!C59*'1. Assumptions'!C38/1000000</f>
        <v>0</v>
      </c>
      <c r="D32" s="20" t="n">
        <f aca="false">'1. Assumptions'!D59*'1. Assumptions'!D38/1000000</f>
        <v>0</v>
      </c>
      <c r="E32" s="20" t="n">
        <f aca="false">'1. Assumptions'!E59*'1. Assumptions'!E38/1000000</f>
        <v>0</v>
      </c>
      <c r="F32" s="20" t="n">
        <f aca="false">'1. Assumptions'!F59*'1. Assumptions'!F38/1000000</f>
        <v>3.6</v>
      </c>
      <c r="G32" s="20" t="n">
        <f aca="false">'1. Assumptions'!G59*'1. Assumptions'!G38/1000000</f>
        <v>6</v>
      </c>
      <c r="H32" s="20" t="n">
        <f aca="false">'1. Assumptions'!H59*'1. Assumptions'!H38/1000000</f>
        <v>7.5</v>
      </c>
      <c r="I32" s="20" t="n">
        <f aca="false">'1. Assumptions'!I59*'1. Assumptions'!I38/1000000</f>
        <v>9</v>
      </c>
      <c r="J32" s="20" t="n">
        <f aca="false">'1. Assumptions'!J59*'1. Assumptions'!J38/1000000</f>
        <v>10.5</v>
      </c>
      <c r="K32" s="20" t="n">
        <f aca="false">'1. Assumptions'!K59*'1. Assumptions'!K38/1000000</f>
        <v>12</v>
      </c>
      <c r="L32" s="20" t="n">
        <f aca="false">'1. Assumptions'!L59*'1. Assumptions'!L38/1000000</f>
        <v>13.5</v>
      </c>
    </row>
    <row r="33" customFormat="false" ht="15" hidden="false" customHeight="false" outlineLevel="0" collapsed="false">
      <c r="A33" s="19" t="s">
        <v>165</v>
      </c>
      <c r="B33" s="20" t="n">
        <f aca="false">'1. Assumptions'!B60*'1. Assumptions'!B39/1000000</f>
        <v>0</v>
      </c>
      <c r="C33" s="20" t="n">
        <f aca="false">'1. Assumptions'!C60*'1. Assumptions'!C39/1000000</f>
        <v>0</v>
      </c>
      <c r="D33" s="20" t="n">
        <f aca="false">'1. Assumptions'!D60*'1. Assumptions'!D39/1000000</f>
        <v>0</v>
      </c>
      <c r="E33" s="20" t="n">
        <f aca="false">'1. Assumptions'!E60*'1. Assumptions'!E39/1000000</f>
        <v>0</v>
      </c>
      <c r="F33" s="20" t="n">
        <f aca="false">'1. Assumptions'!F60*'1. Assumptions'!F39/1000000</f>
        <v>1.8</v>
      </c>
      <c r="G33" s="20" t="n">
        <f aca="false">'1. Assumptions'!G60*'1. Assumptions'!G39/1000000</f>
        <v>3</v>
      </c>
      <c r="H33" s="20" t="n">
        <f aca="false">'1. Assumptions'!H60*'1. Assumptions'!H39/1000000</f>
        <v>3.5</v>
      </c>
      <c r="I33" s="20" t="n">
        <f aca="false">'1. Assumptions'!I60*'1. Assumptions'!I39/1000000</f>
        <v>4</v>
      </c>
      <c r="J33" s="20" t="n">
        <f aca="false">'1. Assumptions'!J60*'1. Assumptions'!J39/1000000</f>
        <v>4.5</v>
      </c>
      <c r="K33" s="20" t="n">
        <f aca="false">'1. Assumptions'!K60*'1. Assumptions'!K39/1000000</f>
        <v>5</v>
      </c>
      <c r="L33" s="20" t="n">
        <f aca="false">'1. Assumptions'!L60*'1. Assumptions'!L39/1000000</f>
        <v>5.5</v>
      </c>
    </row>
    <row r="34" customFormat="false" ht="15" hidden="false" customHeight="false" outlineLevel="0" collapsed="false">
      <c r="A34" s="19" t="s">
        <v>166</v>
      </c>
      <c r="B34" s="20" t="n">
        <f aca="false">'1. Assumptions'!B61*'1. Assumptions'!B40/1000000</f>
        <v>0</v>
      </c>
      <c r="C34" s="20" t="n">
        <f aca="false">'1. Assumptions'!C61*'1. Assumptions'!C40/1000000</f>
        <v>0</v>
      </c>
      <c r="D34" s="20" t="n">
        <f aca="false">'1. Assumptions'!D61*'1. Assumptions'!D40/1000000</f>
        <v>0</v>
      </c>
      <c r="E34" s="20" t="n">
        <f aca="false">'1. Assumptions'!E61*'1. Assumptions'!E40/1000000</f>
        <v>0</v>
      </c>
      <c r="F34" s="20" t="n">
        <f aca="false">'1. Assumptions'!F61*'1. Assumptions'!F40/1000000</f>
        <v>1.5</v>
      </c>
      <c r="G34" s="20" t="n">
        <f aca="false">'1. Assumptions'!G61*'1. Assumptions'!G40/1000000</f>
        <v>2.4</v>
      </c>
      <c r="H34" s="20" t="n">
        <f aca="false">'1. Assumptions'!H61*'1. Assumptions'!H40/1000000</f>
        <v>3</v>
      </c>
      <c r="I34" s="20" t="n">
        <f aca="false">'1. Assumptions'!I61*'1. Assumptions'!I40/1000000</f>
        <v>3.6</v>
      </c>
      <c r="J34" s="20" t="n">
        <f aca="false">'1. Assumptions'!J61*'1. Assumptions'!J40/1000000</f>
        <v>4.2</v>
      </c>
      <c r="K34" s="20" t="n">
        <f aca="false">'1. Assumptions'!K61*'1. Assumptions'!K40/1000000</f>
        <v>4.8</v>
      </c>
      <c r="L34" s="20" t="n">
        <f aca="false">'1. Assumptions'!L61*'1. Assumptions'!L40/1000000</f>
        <v>5.4</v>
      </c>
    </row>
    <row r="35" customFormat="false" ht="15" hidden="false" customHeight="false" outlineLevel="0" collapsed="false">
      <c r="A35" s="21" t="s">
        <v>167</v>
      </c>
      <c r="B35" s="22" t="n">
        <f aca="false">SUM(B32:B34)</f>
        <v>0</v>
      </c>
      <c r="C35" s="22" t="n">
        <f aca="false">SUM(C32:C34)</f>
        <v>0</v>
      </c>
      <c r="D35" s="22" t="n">
        <f aca="false">SUM(D32:D34)</f>
        <v>0</v>
      </c>
      <c r="E35" s="22" t="n">
        <f aca="false">SUM(E32:E34)</f>
        <v>0</v>
      </c>
      <c r="F35" s="22" t="n">
        <f aca="false">SUM(F32:F34)</f>
        <v>6.9</v>
      </c>
      <c r="G35" s="22" t="n">
        <f aca="false">SUM(G32:G34)</f>
        <v>11.4</v>
      </c>
      <c r="H35" s="22" t="n">
        <f aca="false">SUM(H32:H34)</f>
        <v>14</v>
      </c>
      <c r="I35" s="22" t="n">
        <f aca="false">SUM(I32:I34)</f>
        <v>16.6</v>
      </c>
      <c r="J35" s="22" t="n">
        <f aca="false">SUM(J32:J34)</f>
        <v>19.2</v>
      </c>
      <c r="K35" s="22" t="n">
        <f aca="false">SUM(K32:K34)</f>
        <v>21.8</v>
      </c>
      <c r="L35" s="22" t="n">
        <f aca="false">SUM(L32:L34)</f>
        <v>24.4</v>
      </c>
    </row>
    <row r="37" customFormat="false" ht="15" hidden="false" customHeight="false" outlineLevel="0" collapsed="false">
      <c r="A37" s="8" t="s">
        <v>168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customFormat="false" ht="15" hidden="false" customHeight="false" outlineLevel="0" collapsed="false">
      <c r="A38" s="19" t="s">
        <v>169</v>
      </c>
      <c r="B38" s="20" t="n">
        <f aca="false">'1. Assumptions'!B62*'1. Assumptions'!B41/1000000</f>
        <v>0</v>
      </c>
      <c r="C38" s="20" t="n">
        <f aca="false">'1. Assumptions'!C62*'1. Assumptions'!C41/1000000</f>
        <v>0</v>
      </c>
      <c r="D38" s="20" t="n">
        <f aca="false">'1. Assumptions'!D62*'1. Assumptions'!D41/1000000</f>
        <v>0</v>
      </c>
      <c r="E38" s="20" t="n">
        <f aca="false">'1. Assumptions'!E62*'1. Assumptions'!E41/1000000</f>
        <v>0</v>
      </c>
      <c r="F38" s="20" t="n">
        <f aca="false">'1. Assumptions'!F62*'1. Assumptions'!F41/1000000</f>
        <v>1.8</v>
      </c>
      <c r="G38" s="20" t="n">
        <f aca="false">'1. Assumptions'!G62*'1. Assumptions'!G41/1000000</f>
        <v>3</v>
      </c>
      <c r="H38" s="20" t="n">
        <f aca="false">'1. Assumptions'!H62*'1. Assumptions'!H41/1000000</f>
        <v>4.2</v>
      </c>
      <c r="I38" s="20" t="n">
        <f aca="false">'1. Assumptions'!I62*'1. Assumptions'!I41/1000000</f>
        <v>5.4</v>
      </c>
      <c r="J38" s="20" t="n">
        <f aca="false">'1. Assumptions'!J62*'1. Assumptions'!J41/1000000</f>
        <v>6.6</v>
      </c>
      <c r="K38" s="20" t="n">
        <f aca="false">'1. Assumptions'!K62*'1. Assumptions'!K41/1000000</f>
        <v>7.8</v>
      </c>
      <c r="L38" s="20" t="n">
        <f aca="false">'1. Assumptions'!L62*'1. Assumptions'!L41/1000000</f>
        <v>9</v>
      </c>
    </row>
    <row r="39" customFormat="false" ht="15" hidden="false" customHeight="false" outlineLevel="0" collapsed="false">
      <c r="A39" s="19" t="s">
        <v>170</v>
      </c>
      <c r="B39" s="20" t="n">
        <f aca="false">'1. Assumptions'!B63*'1. Assumptions'!B42/1000000</f>
        <v>0</v>
      </c>
      <c r="C39" s="20" t="n">
        <f aca="false">'1. Assumptions'!C63*'1. Assumptions'!C42/1000000</f>
        <v>0</v>
      </c>
      <c r="D39" s="20" t="n">
        <f aca="false">'1. Assumptions'!D63*'1. Assumptions'!D42/1000000</f>
        <v>0</v>
      </c>
      <c r="E39" s="20" t="n">
        <f aca="false">'1. Assumptions'!E63*'1. Assumptions'!E42/1000000</f>
        <v>0</v>
      </c>
      <c r="F39" s="20" t="n">
        <f aca="false">'1. Assumptions'!F63*'1. Assumptions'!F42/1000000</f>
        <v>1.25</v>
      </c>
      <c r="G39" s="20" t="n">
        <f aca="false">'1. Assumptions'!G63*'1. Assumptions'!G42/1000000</f>
        <v>2</v>
      </c>
      <c r="H39" s="20" t="n">
        <f aca="false">'1. Assumptions'!H63*'1. Assumptions'!H42/1000000</f>
        <v>2.75</v>
      </c>
      <c r="I39" s="20" t="n">
        <f aca="false">'1. Assumptions'!I63*'1. Assumptions'!I42/1000000</f>
        <v>3.5</v>
      </c>
      <c r="J39" s="20" t="n">
        <f aca="false">'1. Assumptions'!J63*'1. Assumptions'!J42/1000000</f>
        <v>4.25</v>
      </c>
      <c r="K39" s="20" t="n">
        <f aca="false">'1. Assumptions'!K63*'1. Assumptions'!K42/1000000</f>
        <v>5</v>
      </c>
      <c r="L39" s="20" t="n">
        <f aca="false">'1. Assumptions'!L63*'1. Assumptions'!L42/1000000</f>
        <v>5.75</v>
      </c>
    </row>
    <row r="40" customFormat="false" ht="15" hidden="false" customHeight="false" outlineLevel="0" collapsed="false">
      <c r="A40" s="19" t="s">
        <v>171</v>
      </c>
      <c r="B40" s="20" t="n">
        <f aca="false">'1. Assumptions'!B64*'1. Assumptions'!B43/1000000</f>
        <v>0</v>
      </c>
      <c r="C40" s="20" t="n">
        <f aca="false">'1. Assumptions'!C64*'1. Assumptions'!C43/1000000</f>
        <v>0</v>
      </c>
      <c r="D40" s="20" t="n">
        <f aca="false">'1. Assumptions'!D64*'1. Assumptions'!D43/1000000</f>
        <v>0</v>
      </c>
      <c r="E40" s="20" t="n">
        <f aca="false">'1. Assumptions'!E64*'1. Assumptions'!E43/1000000</f>
        <v>0</v>
      </c>
      <c r="F40" s="20" t="n">
        <f aca="false">'1. Assumptions'!F64*'1. Assumptions'!F43/1000000</f>
        <v>2</v>
      </c>
      <c r="G40" s="20" t="n">
        <f aca="false">'1. Assumptions'!G64*'1. Assumptions'!G43/1000000</f>
        <v>4</v>
      </c>
      <c r="H40" s="20" t="n">
        <f aca="false">'1. Assumptions'!H64*'1. Assumptions'!H43/1000000</f>
        <v>4</v>
      </c>
      <c r="I40" s="20" t="n">
        <f aca="false">'1. Assumptions'!I64*'1. Assumptions'!I43/1000000</f>
        <v>6</v>
      </c>
      <c r="J40" s="20" t="n">
        <f aca="false">'1. Assumptions'!J64*'1. Assumptions'!J43/1000000</f>
        <v>6</v>
      </c>
      <c r="K40" s="20" t="n">
        <f aca="false">'1. Assumptions'!K64*'1. Assumptions'!K43/1000000</f>
        <v>8</v>
      </c>
      <c r="L40" s="20" t="n">
        <f aca="false">'1. Assumptions'!L64*'1. Assumptions'!L43/1000000</f>
        <v>8</v>
      </c>
    </row>
    <row r="41" customFormat="false" ht="15" hidden="false" customHeight="false" outlineLevel="0" collapsed="false">
      <c r="A41" s="21" t="s">
        <v>172</v>
      </c>
      <c r="B41" s="22" t="n">
        <f aca="false">SUM(B38:B40)</f>
        <v>0</v>
      </c>
      <c r="C41" s="22" t="n">
        <f aca="false">SUM(C38:C40)</f>
        <v>0</v>
      </c>
      <c r="D41" s="22" t="n">
        <f aca="false">SUM(D38:D40)</f>
        <v>0</v>
      </c>
      <c r="E41" s="22" t="n">
        <f aca="false">SUM(E38:E40)</f>
        <v>0</v>
      </c>
      <c r="F41" s="22" t="n">
        <f aca="false">SUM(F38:F40)</f>
        <v>5.05</v>
      </c>
      <c r="G41" s="22" t="n">
        <f aca="false">SUM(G38:G40)</f>
        <v>9</v>
      </c>
      <c r="H41" s="22" t="n">
        <f aca="false">SUM(H38:H40)</f>
        <v>10.95</v>
      </c>
      <c r="I41" s="22" t="n">
        <f aca="false">SUM(I38:I40)</f>
        <v>14.9</v>
      </c>
      <c r="J41" s="22" t="n">
        <f aca="false">SUM(J38:J40)</f>
        <v>16.85</v>
      </c>
      <c r="K41" s="22" t="n">
        <f aca="false">SUM(K38:K40)</f>
        <v>20.8</v>
      </c>
      <c r="L41" s="22" t="n">
        <f aca="false">SUM(L38:L40)</f>
        <v>22.75</v>
      </c>
    </row>
    <row r="43" customFormat="false" ht="15" hidden="false" customHeight="false" outlineLevel="0" collapsed="false">
      <c r="A43" s="8" t="s">
        <v>173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customFormat="false" ht="15" hidden="false" customHeight="false" outlineLevel="0" collapsed="false">
      <c r="A44" s="21" t="s">
        <v>174</v>
      </c>
      <c r="B44" s="22" t="n">
        <f aca="false">B7+B15+B22+B29+B35+B41</f>
        <v>0</v>
      </c>
      <c r="C44" s="22" t="n">
        <f aca="false">C7+C15+C22+C29+C35+C41</f>
        <v>5.845</v>
      </c>
      <c r="D44" s="22" t="n">
        <f aca="false">D7+D15+D22+D29+D35+D41</f>
        <v>10.581</v>
      </c>
      <c r="E44" s="22" t="n">
        <f aca="false">E7+E15+E22+E29+E35+E41</f>
        <v>24.2376</v>
      </c>
      <c r="F44" s="22" t="n">
        <f aca="false">F7+F15+F22+F29+F35+F41</f>
        <v>47.697</v>
      </c>
      <c r="G44" s="22" t="n">
        <f aca="false">G7+G15+G22+G29+G35+G41</f>
        <v>73.6448</v>
      </c>
      <c r="H44" s="22" t="n">
        <f aca="false">H7+H15+H22+H29+H35+H41</f>
        <v>88.867</v>
      </c>
      <c r="I44" s="22" t="n">
        <f aca="false">I7+I15+I22+I29+I35+I41</f>
        <v>109.7118</v>
      </c>
      <c r="J44" s="22" t="n">
        <f aca="false">J7+J15+J22+J29+J35+J41</f>
        <v>123.7526</v>
      </c>
      <c r="K44" s="22" t="n">
        <f aca="false">K7+K15+K22+K29+K35+K41</f>
        <v>142.1424</v>
      </c>
      <c r="L44" s="22" t="n">
        <f aca="false">L7+L15+L22+L29+L35+L41</f>
        <v>159.983</v>
      </c>
    </row>
    <row r="45" customFormat="false" ht="15" hidden="false" customHeight="false" outlineLevel="0" collapsed="false">
      <c r="A45" s="11" t="s">
        <v>175</v>
      </c>
      <c r="B45" s="23" t="s">
        <v>176</v>
      </c>
      <c r="C45" s="23" t="s">
        <v>176</v>
      </c>
      <c r="D45" s="24" t="n">
        <f aca="false">IF(C44&gt;0,(D44-C44)/C44,0)</f>
        <v>0.810265183917878</v>
      </c>
      <c r="E45" s="24" t="n">
        <f aca="false">IF(D44&gt;0,(E44-D44)/D44,0)</f>
        <v>1.2906719591721</v>
      </c>
      <c r="F45" s="24" t="n">
        <f aca="false">IF(E44&gt;0,(F44-E44)/E44,0)</f>
        <v>0.967892860679275</v>
      </c>
      <c r="G45" s="24" t="n">
        <f aca="false">IF(F44&gt;0,(G44-F44)/F44,0)</f>
        <v>0.544013250309244</v>
      </c>
      <c r="H45" s="24" t="n">
        <f aca="false">IF(G44&gt;0,(H44-G44)/G44,0)</f>
        <v>0.206697553662988</v>
      </c>
      <c r="I45" s="24" t="n">
        <f aca="false">IF(H44&gt;0,(I44-H44)/H44,0)</f>
        <v>0.234561760833605</v>
      </c>
      <c r="J45" s="24" t="n">
        <f aca="false">IF(I44&gt;0,(J44-I44)/I44,0)</f>
        <v>0.127978941189553</v>
      </c>
      <c r="K45" s="24" t="n">
        <f aca="false">IF(J44&gt;0,(K44-J44)/J44,0)</f>
        <v>0.148601322315652</v>
      </c>
      <c r="L45" s="24" t="n">
        <f aca="false">IF(K44&gt;0,(L44-K44)/K44,0)</f>
        <v>0.125512162451176</v>
      </c>
    </row>
    <row r="47" customFormat="false" ht="15" hidden="false" customHeight="false" outlineLevel="0" collapsed="false">
      <c r="A47" s="8" t="s">
        <v>177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customFormat="false" ht="15" hidden="false" customHeight="false" outlineLevel="0" collapsed="false">
      <c r="A48" s="19" t="s">
        <v>178</v>
      </c>
      <c r="B48" s="24" t="n">
        <f aca="false">IF(B44&gt;0,B7/B44,0)</f>
        <v>0</v>
      </c>
      <c r="C48" s="24" t="n">
        <f aca="false">IF(C44&gt;0,C7/C44,0)</f>
        <v>0.076988879384089</v>
      </c>
      <c r="D48" s="24" t="n">
        <f aca="false">IF(D44&gt;0,D7/D44,0)</f>
        <v>0.199319535015594</v>
      </c>
      <c r="E48" s="24" t="n">
        <f aca="false">IF(E44&gt;0,E7/E44,0)</f>
        <v>0.349564313298346</v>
      </c>
      <c r="F48" s="24" t="n">
        <f aca="false">IF(F44&gt;0,F7/F44,0)</f>
        <v>0.283980124536134</v>
      </c>
      <c r="G48" s="24" t="n">
        <f aca="false">IF(G44&gt;0,G7/G44,0)</f>
        <v>0.368319283914139</v>
      </c>
      <c r="H48" s="24" t="n">
        <f aca="false">IF(H44&gt;0,H7/H44,0)</f>
        <v>0.348385790000788</v>
      </c>
      <c r="I48" s="24" t="n">
        <f aca="false">IF(I44&gt;0,I7/I44,0)</f>
        <v>0.355629932240652</v>
      </c>
      <c r="J48" s="24" t="n">
        <f aca="false">IF(J44&gt;0,J7/J44,0)</f>
        <v>0.349645987235824</v>
      </c>
      <c r="K48" s="24" t="n">
        <f aca="false">IF(K44&gt;0,K7/K44,0)</f>
        <v>0.350158714078276</v>
      </c>
      <c r="L48" s="24" t="n">
        <f aca="false">IF(L44&gt;0,L7/L44,0)</f>
        <v>0.359588206246914</v>
      </c>
    </row>
    <row r="49" customFormat="false" ht="15" hidden="false" customHeight="false" outlineLevel="0" collapsed="false">
      <c r="A49" s="19" t="s">
        <v>179</v>
      </c>
      <c r="B49" s="24" t="n">
        <f aca="false">IF(B44&gt;0,B15/B44,0)</f>
        <v>0</v>
      </c>
      <c r="C49" s="24" t="n">
        <f aca="false">IF(C44&gt;0,C15/C44,0)</f>
        <v>0.923011120615911</v>
      </c>
      <c r="D49" s="24" t="n">
        <f aca="false">IF(D44&gt;0,D15/D44,0)</f>
        <v>0.718457612702013</v>
      </c>
      <c r="E49" s="24" t="n">
        <f aca="false">IF(E44&gt;0,E15/E44,0)</f>
        <v>0.388033468660263</v>
      </c>
      <c r="F49" s="24" t="n">
        <f aca="false">IF(F44&gt;0,F15/F44,0)</f>
        <v>0.212214604692119</v>
      </c>
      <c r="G49" s="24" t="n">
        <f aca="false">IF(G44&gt;0,G15/G44,0)</f>
        <v>0.145563570000869</v>
      </c>
      <c r="H49" s="24" t="n">
        <f aca="false">IF(H44&gt;0,H15/H44,0)</f>
        <v>0.138262797213814</v>
      </c>
      <c r="I49" s="24" t="n">
        <f aca="false">IF(I44&gt;0,I15/I44,0)</f>
        <v>0.125373934253198</v>
      </c>
      <c r="J49" s="24" t="n">
        <f aca="false">IF(J44&gt;0,J15/J44,0)</f>
        <v>0.123011556928905</v>
      </c>
      <c r="K49" s="24" t="n">
        <f aca="false">IF(K44&gt;0,K15/K44,0)</f>
        <v>0.118120982901654</v>
      </c>
      <c r="L49" s="24" t="n">
        <f aca="false">IF(L44&gt;0,L15/L44,0)</f>
        <v>0.115981072989005</v>
      </c>
    </row>
    <row r="50" customFormat="false" ht="15" hidden="false" customHeight="false" outlineLevel="0" collapsed="false">
      <c r="A50" s="19" t="s">
        <v>180</v>
      </c>
      <c r="B50" s="24" t="n">
        <f aca="false">IF(B44&gt;0,B22/B44,0)</f>
        <v>0</v>
      </c>
      <c r="C50" s="24" t="n">
        <f aca="false">IF(C44&gt;0,C22/C44,0)</f>
        <v>0</v>
      </c>
      <c r="D50" s="24" t="n">
        <f aca="false">IF(D44&gt;0,D22/D44,0)</f>
        <v>0</v>
      </c>
      <c r="E50" s="24" t="n">
        <f aca="false">IF(E44&gt;0,E22/E44,0)</f>
        <v>0.177410304650625</v>
      </c>
      <c r="F50" s="24" t="n">
        <f aca="false">IF(F44&gt;0,F22/F44,0)</f>
        <v>0.198125668281024</v>
      </c>
      <c r="G50" s="24" t="n">
        <f aca="false">IF(G44&gt;0,G22/G44,0)</f>
        <v>0.168375771269662</v>
      </c>
      <c r="H50" s="24" t="n">
        <f aca="false">IF(H44&gt;0,H22/H44,0)</f>
        <v>0.192422384012063</v>
      </c>
      <c r="I50" s="24" t="n">
        <f aca="false">IF(I44&gt;0,I22/I44,0)</f>
        <v>0.194145023598191</v>
      </c>
      <c r="J50" s="24" t="n">
        <f aca="false">IF(J44&gt;0,J22/J44,0)</f>
        <v>0.197975638491636</v>
      </c>
      <c r="K50" s="24" t="n">
        <f aca="false">IF(K44&gt;0,K22/K44,0)</f>
        <v>0.19487499859296</v>
      </c>
      <c r="L50" s="24" t="n">
        <f aca="false">IF(L44&gt;0,L22/L44,0)</f>
        <v>0.193145521711682</v>
      </c>
    </row>
    <row r="51" customFormat="false" ht="15" hidden="false" customHeight="false" outlineLevel="0" collapsed="false">
      <c r="A51" s="19" t="s">
        <v>181</v>
      </c>
      <c r="B51" s="24" t="n">
        <f aca="false">IF(B44&gt;0,B29/B44,0)</f>
        <v>0</v>
      </c>
      <c r="C51" s="24" t="n">
        <f aca="false">IF(C44&gt;0,C29/C44,0)</f>
        <v>0</v>
      </c>
      <c r="D51" s="24" t="n">
        <f aca="false">IF(D44&gt;0,D29/D44,0)</f>
        <v>0.082222852282393</v>
      </c>
      <c r="E51" s="24" t="n">
        <f aca="false">IF(E44&gt;0,E29/E44,0)</f>
        <v>0.0849919133907648</v>
      </c>
      <c r="F51" s="24" t="n">
        <f aca="false">IF(F44&gt;0,F29/F44,0)</f>
        <v>0.0551397362517559</v>
      </c>
      <c r="G51" s="24" t="n">
        <f aca="false">IF(G44&gt;0,G29/G44,0)</f>
        <v>0.040736073694273</v>
      </c>
      <c r="H51" s="24" t="n">
        <f aca="false">IF(H44&gt;0,H29/H44,0)</f>
        <v>0.0401723924516412</v>
      </c>
      <c r="I51" s="24" t="n">
        <f aca="false">IF(I44&gt;0,I29/I44,0)</f>
        <v>0.0377352299388033</v>
      </c>
      <c r="J51" s="24" t="n">
        <f aca="false">IF(J44&gt;0,J29/J44,0)</f>
        <v>0.0380598064202288</v>
      </c>
      <c r="K51" s="24" t="n">
        <f aca="false">IF(K44&gt;0,K29/K44,0)</f>
        <v>0.0371458481072502</v>
      </c>
      <c r="L51" s="24" t="n">
        <f aca="false">IF(L44&gt;0,L29/L44,0)</f>
        <v>0.0365663851784252</v>
      </c>
    </row>
    <row r="52" customFormat="false" ht="15" hidden="false" customHeight="false" outlineLevel="0" collapsed="false">
      <c r="A52" s="19" t="s">
        <v>182</v>
      </c>
      <c r="B52" s="24" t="n">
        <f aca="false">IF(B44&gt;0,B35/B44,0)</f>
        <v>0</v>
      </c>
      <c r="C52" s="24" t="n">
        <f aca="false">IF(C44&gt;0,C35/C44,0)</f>
        <v>0</v>
      </c>
      <c r="D52" s="24" t="n">
        <f aca="false">IF(D44&gt;0,D35/D44,0)</f>
        <v>0</v>
      </c>
      <c r="E52" s="24" t="n">
        <f aca="false">IF(E44&gt;0,E35/E44,0)</f>
        <v>0</v>
      </c>
      <c r="F52" s="24" t="n">
        <f aca="false">IF(F44&gt;0,F35/F44,0)</f>
        <v>0.144663186363922</v>
      </c>
      <c r="G52" s="24" t="n">
        <f aca="false">IF(G44&gt;0,G35/G44,0)</f>
        <v>0.154797080038238</v>
      </c>
      <c r="H52" s="24" t="n">
        <f aca="false">IF(H44&gt;0,H35/H44,0)</f>
        <v>0.157538793928005</v>
      </c>
      <c r="I52" s="24" t="n">
        <f aca="false">IF(I44&gt;0,I35/I44,0)</f>
        <v>0.151305511348825</v>
      </c>
      <c r="J52" s="24" t="n">
        <f aca="false">IF(J44&gt;0,J35/J44,0)</f>
        <v>0.155148255470996</v>
      </c>
      <c r="K52" s="24" t="n">
        <f aca="false">IF(K44&gt;0,K35/K44,0)</f>
        <v>0.15336732741251</v>
      </c>
      <c r="L52" s="24" t="n">
        <f aca="false">IF(L44&gt;0,L35/L44,0)</f>
        <v>0.152516204846765</v>
      </c>
    </row>
    <row r="53" customFormat="false" ht="15" hidden="false" customHeight="false" outlineLevel="0" collapsed="false">
      <c r="A53" s="19" t="s">
        <v>183</v>
      </c>
      <c r="B53" s="24" t="n">
        <f aca="false">IF(B44&gt;0,B41/B44,0)</f>
        <v>0</v>
      </c>
      <c r="C53" s="24" t="n">
        <f aca="false">IF(C44&gt;0,C41/C44,0)</f>
        <v>0</v>
      </c>
      <c r="D53" s="24" t="n">
        <f aca="false">IF(D44&gt;0,D41/D44,0)</f>
        <v>0</v>
      </c>
      <c r="E53" s="24" t="n">
        <f aca="false">IF(E44&gt;0,E41/E44,0)</f>
        <v>0</v>
      </c>
      <c r="F53" s="24" t="n">
        <f aca="false">IF(F44&gt;0,F41/F44,0)</f>
        <v>0.105876679875045</v>
      </c>
      <c r="G53" s="24" t="n">
        <f aca="false">IF(G44&gt;0,G41/G44,0)</f>
        <v>0.122208221082819</v>
      </c>
      <c r="H53" s="24" t="n">
        <f aca="false">IF(H44&gt;0,H41/H44,0)</f>
        <v>0.123217842393689</v>
      </c>
      <c r="I53" s="24" t="n">
        <f aca="false">IF(I44&gt;0,I41/I44,0)</f>
        <v>0.135810368620331</v>
      </c>
      <c r="J53" s="24" t="n">
        <f aca="false">IF(J44&gt;0,J41/J44,0)</f>
        <v>0.136158755452411</v>
      </c>
      <c r="K53" s="24" t="n">
        <f aca="false">IF(K44&gt;0,K41/K44,0)</f>
        <v>0.146332128907349</v>
      </c>
      <c r="L53" s="24" t="n">
        <f aca="false">IF(L44&gt;0,L41/L44,0)</f>
        <v>0.142202609027209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4B6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8" t="s">
        <v>184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10"/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51</v>
      </c>
      <c r="L2" s="10" t="s">
        <v>52</v>
      </c>
    </row>
    <row r="3" customFormat="false" ht="15" hidden="false" customHeight="false" outlineLevel="0" collapsed="false">
      <c r="A3" s="25" t="s">
        <v>185</v>
      </c>
      <c r="B3" s="26" t="n">
        <f aca="false">'2. Revenue'!B44</f>
        <v>0</v>
      </c>
      <c r="C3" s="26" t="n">
        <f aca="false">'2. Revenue'!C44</f>
        <v>5.845</v>
      </c>
      <c r="D3" s="26" t="n">
        <f aca="false">'2. Revenue'!D44</f>
        <v>10.581</v>
      </c>
      <c r="E3" s="26" t="n">
        <f aca="false">'2. Revenue'!E44</f>
        <v>24.2376</v>
      </c>
      <c r="F3" s="26" t="n">
        <f aca="false">'2. Revenue'!F44</f>
        <v>47.697</v>
      </c>
      <c r="G3" s="26" t="n">
        <f aca="false">'2. Revenue'!G44</f>
        <v>73.6448</v>
      </c>
      <c r="H3" s="26" t="n">
        <f aca="false">'2. Revenue'!H44</f>
        <v>88.867</v>
      </c>
      <c r="I3" s="26" t="n">
        <f aca="false">'2. Revenue'!I44</f>
        <v>109.7118</v>
      </c>
      <c r="J3" s="26" t="n">
        <f aca="false">'2. Revenue'!J44</f>
        <v>123.7526</v>
      </c>
      <c r="K3" s="26" t="n">
        <f aca="false">'2. Revenue'!K44</f>
        <v>142.1424</v>
      </c>
      <c r="L3" s="26" t="n">
        <f aca="false">'2. Revenue'!L44</f>
        <v>159.983</v>
      </c>
    </row>
    <row r="4" customFormat="false" ht="15" hidden="false" customHeight="false" outlineLevel="0" collapsed="false">
      <c r="A4" s="8" t="s">
        <v>186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customFormat="false" ht="15" hidden="false" customHeight="false" outlineLevel="0" collapsed="false">
      <c r="A5" s="19" t="s">
        <v>187</v>
      </c>
      <c r="B5" s="20" t="n">
        <f aca="false">'1. Assumptions'!B67*'1. Assumptions'!B68/1000</f>
        <v>0</v>
      </c>
      <c r="C5" s="20" t="n">
        <f aca="false">'1. Assumptions'!C67*'1. Assumptions'!C68/1000</f>
        <v>1.5</v>
      </c>
      <c r="D5" s="20" t="n">
        <f aca="false">'1. Assumptions'!D67*'1. Assumptions'!D68/1000</f>
        <v>2.5</v>
      </c>
      <c r="E5" s="20" t="n">
        <f aca="false">'1. Assumptions'!E67*'1. Assumptions'!E68/1000</f>
        <v>4.725</v>
      </c>
      <c r="F5" s="20" t="n">
        <f aca="false">'1. Assumptions'!F67*'1. Assumptions'!F68/1000</f>
        <v>6.6</v>
      </c>
      <c r="G5" s="20" t="n">
        <f aca="false">'1. Assumptions'!G67*'1. Assumptions'!G68/1000</f>
        <v>9.2</v>
      </c>
      <c r="H5" s="20" t="n">
        <f aca="false">'1. Assumptions'!H67*'1. Assumptions'!H68/1000</f>
        <v>11.21</v>
      </c>
      <c r="I5" s="20" t="n">
        <f aca="false">'1. Assumptions'!I67*'1. Assumptions'!I68/1000</f>
        <v>14.4</v>
      </c>
      <c r="J5" s="20" t="n">
        <f aca="false">'1. Assumptions'!J67*'1. Assumptions'!J68/1000</f>
        <v>17.08</v>
      </c>
      <c r="K5" s="20" t="n">
        <f aca="false">'1. Assumptions'!K67*'1. Assumptions'!K68/1000</f>
        <v>20</v>
      </c>
      <c r="L5" s="20" t="n">
        <f aca="false">'1. Assumptions'!L67*'1. Assumptions'!L68/1000</f>
        <v>23.04</v>
      </c>
    </row>
    <row r="6" customFormat="false" ht="15" hidden="false" customHeight="false" outlineLevel="0" collapsed="false">
      <c r="A6" s="19" t="s">
        <v>188</v>
      </c>
      <c r="B6" s="20" t="n">
        <f aca="false">B3*'1. Assumptions'!B69</f>
        <v>0</v>
      </c>
      <c r="C6" s="20" t="n">
        <f aca="false">C3*'1. Assumptions'!C69</f>
        <v>0.7014</v>
      </c>
      <c r="D6" s="20" t="n">
        <f aca="false">D3*'1. Assumptions'!D69</f>
        <v>1.0581</v>
      </c>
      <c r="E6" s="20" t="n">
        <f aca="false">E3*'1. Assumptions'!E69</f>
        <v>2.181384</v>
      </c>
      <c r="F6" s="20" t="n">
        <f aca="false">F3*'1. Assumptions'!F69</f>
        <v>3.81576</v>
      </c>
      <c r="G6" s="20" t="n">
        <f aca="false">G3*'1. Assumptions'!G69</f>
        <v>5.155136</v>
      </c>
      <c r="H6" s="20" t="n">
        <f aca="false">H3*'1. Assumptions'!H69</f>
        <v>5.33202</v>
      </c>
      <c r="I6" s="20" t="n">
        <f aca="false">I3*'1. Assumptions'!I69</f>
        <v>6.582708</v>
      </c>
      <c r="J6" s="20" t="n">
        <f aca="false">J3*'1. Assumptions'!J69</f>
        <v>6.18763</v>
      </c>
      <c r="K6" s="20" t="n">
        <f aca="false">K3*'1. Assumptions'!K69</f>
        <v>7.10712</v>
      </c>
      <c r="L6" s="20" t="n">
        <f aca="false">L3*'1. Assumptions'!L69</f>
        <v>7.99915</v>
      </c>
    </row>
    <row r="7" customFormat="false" ht="15" hidden="false" customHeight="false" outlineLevel="0" collapsed="false">
      <c r="A7" s="19" t="s">
        <v>189</v>
      </c>
      <c r="B7" s="20" t="n">
        <f aca="false">B3*'1. Assumptions'!B71</f>
        <v>0</v>
      </c>
      <c r="C7" s="20" t="n">
        <f aca="false">C3*'1. Assumptions'!C71</f>
        <v>0.52605</v>
      </c>
      <c r="D7" s="20" t="n">
        <f aca="false">D3*'1. Assumptions'!D71</f>
        <v>0.74067</v>
      </c>
      <c r="E7" s="20" t="n">
        <f aca="false">E3*'1. Assumptions'!E71</f>
        <v>1.454256</v>
      </c>
      <c r="F7" s="20" t="n">
        <f aca="false">F3*'1. Assumptions'!F71</f>
        <v>2.38485</v>
      </c>
      <c r="G7" s="20" t="n">
        <f aca="false">G3*'1. Assumptions'!G71</f>
        <v>2.945792</v>
      </c>
      <c r="H7" s="20" t="n">
        <f aca="false">H3*'1. Assumptions'!H71</f>
        <v>3.55468</v>
      </c>
      <c r="I7" s="20" t="n">
        <f aca="false">I3*'1. Assumptions'!I71</f>
        <v>3.291354</v>
      </c>
      <c r="J7" s="20" t="n">
        <f aca="false">J3*'1. Assumptions'!J71</f>
        <v>3.712578</v>
      </c>
      <c r="K7" s="20" t="n">
        <f aca="false">K3*'1. Assumptions'!K71</f>
        <v>4.264272</v>
      </c>
      <c r="L7" s="20" t="n">
        <f aca="false">L3*'1. Assumptions'!L71</f>
        <v>4.79949</v>
      </c>
    </row>
    <row r="8" customFormat="false" ht="15" hidden="false" customHeight="false" outlineLevel="0" collapsed="false">
      <c r="A8" s="19" t="s">
        <v>190</v>
      </c>
      <c r="B8" s="20" t="n">
        <f aca="false">B3*'1. Assumptions'!B70</f>
        <v>0</v>
      </c>
      <c r="C8" s="20" t="n">
        <f aca="false">C3*'1. Assumptions'!C70</f>
        <v>0.4676</v>
      </c>
      <c r="D8" s="20" t="n">
        <f aca="false">D3*'1. Assumptions'!D70</f>
        <v>0.63486</v>
      </c>
      <c r="E8" s="20" t="n">
        <f aca="false">E3*'1. Assumptions'!E70</f>
        <v>1.21188</v>
      </c>
      <c r="F8" s="20" t="n">
        <f aca="false">F3*'1. Assumptions'!F70</f>
        <v>1.90788</v>
      </c>
      <c r="G8" s="20" t="n">
        <f aca="false">G3*'1. Assumptions'!G70</f>
        <v>2.209344</v>
      </c>
      <c r="H8" s="20" t="n">
        <f aca="false">H3*'1. Assumptions'!H70</f>
        <v>2.66601</v>
      </c>
      <c r="I8" s="20" t="n">
        <f aca="false">I3*'1. Assumptions'!I70</f>
        <v>2.194236</v>
      </c>
      <c r="J8" s="20" t="n">
        <f aca="false">J3*'1. Assumptions'!J70</f>
        <v>2.475052</v>
      </c>
      <c r="K8" s="20" t="n">
        <f aca="false">K3*'1. Assumptions'!K70</f>
        <v>2.842848</v>
      </c>
      <c r="L8" s="20" t="n">
        <f aca="false">L3*'1. Assumptions'!L70</f>
        <v>3.19966</v>
      </c>
    </row>
    <row r="9" customFormat="false" ht="15" hidden="false" customHeight="false" outlineLevel="0" collapsed="false">
      <c r="A9" s="19" t="s">
        <v>191</v>
      </c>
      <c r="B9" s="26" t="n">
        <f aca="false">'1. Assumptions'!B72</f>
        <v>0</v>
      </c>
      <c r="C9" s="26" t="n">
        <f aca="false">'1. Assumptions'!C72</f>
        <v>0.3</v>
      </c>
      <c r="D9" s="26" t="n">
        <f aca="false">'1. Assumptions'!D72</f>
        <v>0.5</v>
      </c>
      <c r="E9" s="26" t="n">
        <f aca="false">'1. Assumptions'!E72</f>
        <v>0.8</v>
      </c>
      <c r="F9" s="26" t="n">
        <f aca="false">'1. Assumptions'!F72</f>
        <v>1</v>
      </c>
      <c r="G9" s="26" t="n">
        <f aca="false">'1. Assumptions'!G72</f>
        <v>1.2</v>
      </c>
      <c r="H9" s="26" t="n">
        <f aca="false">'1. Assumptions'!H72</f>
        <v>1.3</v>
      </c>
      <c r="I9" s="26" t="n">
        <f aca="false">'1. Assumptions'!I72</f>
        <v>1.5</v>
      </c>
      <c r="J9" s="26" t="n">
        <f aca="false">'1. Assumptions'!J72</f>
        <v>1.6</v>
      </c>
      <c r="K9" s="26" t="n">
        <f aca="false">'1. Assumptions'!K72</f>
        <v>1.7</v>
      </c>
      <c r="L9" s="26" t="n">
        <f aca="false">'1. Assumptions'!L72</f>
        <v>1.8</v>
      </c>
    </row>
    <row r="10" customFormat="false" ht="15" hidden="false" customHeight="false" outlineLevel="0" collapsed="false">
      <c r="A10" s="19" t="s">
        <v>192</v>
      </c>
      <c r="B10" s="20" t="n">
        <f aca="false">B3*'1. Assumptions'!B73</f>
        <v>0</v>
      </c>
      <c r="C10" s="20" t="n">
        <f aca="false">C3*'1. Assumptions'!C73</f>
        <v>0.2338</v>
      </c>
      <c r="D10" s="20" t="n">
        <f aca="false">D3*'1. Assumptions'!D73</f>
        <v>0.31743</v>
      </c>
      <c r="E10" s="20" t="n">
        <f aca="false">E3*'1. Assumptions'!E73</f>
        <v>0.727128</v>
      </c>
      <c r="F10" s="20" t="n">
        <f aca="false">F3*'1. Assumptions'!F73</f>
        <v>0.95394</v>
      </c>
      <c r="G10" s="20" t="n">
        <f aca="false">G3*'1. Assumptions'!G73</f>
        <v>1.472896</v>
      </c>
      <c r="H10" s="20" t="n">
        <f aca="false">H3*'1. Assumptions'!H73</f>
        <v>1.77734</v>
      </c>
      <c r="I10" s="20" t="n">
        <f aca="false">I3*'1. Assumptions'!I73</f>
        <v>1.097118</v>
      </c>
      <c r="J10" s="20" t="n">
        <f aca="false">J3*'1. Assumptions'!J73</f>
        <v>1.237526</v>
      </c>
      <c r="K10" s="20" t="n">
        <f aca="false">K3*'1. Assumptions'!K73</f>
        <v>1.421424</v>
      </c>
      <c r="L10" s="20" t="n">
        <f aca="false">L3*'1. Assumptions'!L73</f>
        <v>1.59983</v>
      </c>
    </row>
    <row r="11" customFormat="false" ht="15" hidden="false" customHeight="false" outlineLevel="0" collapsed="false">
      <c r="A11" s="19" t="s">
        <v>193</v>
      </c>
      <c r="B11" s="20" t="n">
        <f aca="false">'2. Revenue'!B22*'1. Assumptions'!B74</f>
        <v>0</v>
      </c>
      <c r="C11" s="20" t="n">
        <f aca="false">'2. Revenue'!C22*'1. Assumptions'!C74</f>
        <v>0</v>
      </c>
      <c r="D11" s="20" t="n">
        <f aca="false">'2. Revenue'!D22*'1. Assumptions'!D74</f>
        <v>0</v>
      </c>
      <c r="E11" s="20" t="n">
        <f aca="false">'2. Revenue'!E22*'1. Assumptions'!E74</f>
        <v>1.935</v>
      </c>
      <c r="F11" s="20" t="n">
        <f aca="false">'2. Revenue'!F22*'1. Assumptions'!F74</f>
        <v>3.78</v>
      </c>
      <c r="G11" s="20" t="n">
        <f aca="false">'2. Revenue'!G22*'1. Assumptions'!G74</f>
        <v>4.712</v>
      </c>
      <c r="H11" s="20" t="n">
        <f aca="false">'2. Revenue'!H22*'1. Assumptions'!H74</f>
        <v>6.156</v>
      </c>
      <c r="I11" s="20" t="n">
        <f aca="false">'2. Revenue'!I22*'1. Assumptions'!I74</f>
        <v>7.242</v>
      </c>
      <c r="J11" s="20" t="n">
        <f aca="false">'2. Revenue'!J22*'1. Assumptions'!J74</f>
        <v>7.84</v>
      </c>
      <c r="K11" s="20" t="n">
        <f aca="false">'2. Revenue'!K22*'1. Assumptions'!K74</f>
        <v>8.31</v>
      </c>
      <c r="L11" s="20" t="n">
        <f aca="false">'2. Revenue'!L22*'1. Assumptions'!L74</f>
        <v>8.652</v>
      </c>
    </row>
    <row r="12" customFormat="false" ht="15" hidden="false" customHeight="false" outlineLevel="0" collapsed="false">
      <c r="A12" s="19" t="s">
        <v>194</v>
      </c>
      <c r="B12" s="20" t="n">
        <f aca="false">'2. Revenue'!B35*'1. Assumptions'!B75</f>
        <v>0</v>
      </c>
      <c r="C12" s="20" t="n">
        <f aca="false">'2. Revenue'!C35*'1. Assumptions'!C75</f>
        <v>0</v>
      </c>
      <c r="D12" s="20" t="n">
        <f aca="false">'2. Revenue'!D35*'1. Assumptions'!D75</f>
        <v>0</v>
      </c>
      <c r="E12" s="20" t="n">
        <f aca="false">'2. Revenue'!E35*'1. Assumptions'!E75</f>
        <v>0</v>
      </c>
      <c r="F12" s="20" t="n">
        <f aca="false">'2. Revenue'!F35*'1. Assumptions'!F75</f>
        <v>2.415</v>
      </c>
      <c r="G12" s="20" t="n">
        <f aca="false">'2. Revenue'!G35*'1. Assumptions'!G75</f>
        <v>3.648</v>
      </c>
      <c r="H12" s="20" t="n">
        <f aca="false">'2. Revenue'!H35*'1. Assumptions'!H75</f>
        <v>4.2</v>
      </c>
      <c r="I12" s="20" t="n">
        <f aca="false">'2. Revenue'!I35*'1. Assumptions'!I75</f>
        <v>4.648</v>
      </c>
      <c r="J12" s="20" t="n">
        <f aca="false">'2. Revenue'!J35*'1. Assumptions'!J75</f>
        <v>4.992</v>
      </c>
      <c r="K12" s="20" t="n">
        <f aca="false">'2. Revenue'!K35*'1. Assumptions'!K75</f>
        <v>5.232</v>
      </c>
      <c r="L12" s="20" t="n">
        <f aca="false">'2. Revenue'!L35*'1. Assumptions'!L75</f>
        <v>5.368</v>
      </c>
    </row>
    <row r="13" customFormat="false" ht="15" hidden="false" customHeight="false" outlineLevel="0" collapsed="false">
      <c r="A13" s="19" t="s">
        <v>195</v>
      </c>
      <c r="B13" s="20" t="n">
        <f aca="false">'2. Revenue'!B41*'1. Assumptions'!B76</f>
        <v>0</v>
      </c>
      <c r="C13" s="20" t="n">
        <f aca="false">'2. Revenue'!C41*'1. Assumptions'!C76</f>
        <v>0</v>
      </c>
      <c r="D13" s="20" t="n">
        <f aca="false">'2. Revenue'!D41*'1. Assumptions'!D76</f>
        <v>0</v>
      </c>
      <c r="E13" s="20" t="n">
        <f aca="false">'2. Revenue'!E41*'1. Assumptions'!E76</f>
        <v>0</v>
      </c>
      <c r="F13" s="20" t="n">
        <f aca="false">'2. Revenue'!F41*'1. Assumptions'!F76</f>
        <v>0.909</v>
      </c>
      <c r="G13" s="20" t="n">
        <f aca="false">'2. Revenue'!G41*'1. Assumptions'!G76</f>
        <v>1.35</v>
      </c>
      <c r="H13" s="20" t="n">
        <f aca="false">'2. Revenue'!H41*'1. Assumptions'!H76</f>
        <v>1.4235</v>
      </c>
      <c r="I13" s="20" t="n">
        <f aca="false">'2. Revenue'!I41*'1. Assumptions'!I76</f>
        <v>1.788</v>
      </c>
      <c r="J13" s="20" t="n">
        <f aca="false">'2. Revenue'!J41*'1. Assumptions'!J76</f>
        <v>1.685</v>
      </c>
      <c r="K13" s="20" t="n">
        <f aca="false">'2. Revenue'!K41*'1. Assumptions'!K76</f>
        <v>1.872</v>
      </c>
      <c r="L13" s="20" t="n">
        <f aca="false">'2. Revenue'!L41*'1. Assumptions'!L76</f>
        <v>1.82</v>
      </c>
    </row>
    <row r="14" customFormat="false" ht="15" hidden="false" customHeight="false" outlineLevel="0" collapsed="false">
      <c r="A14" s="21" t="s">
        <v>196</v>
      </c>
      <c r="B14" s="22" t="n">
        <f aca="false">SUM(B5:B13)</f>
        <v>0</v>
      </c>
      <c r="C14" s="22" t="n">
        <f aca="false">SUM(C5:C13)</f>
        <v>3.72885</v>
      </c>
      <c r="D14" s="22" t="n">
        <f aca="false">SUM(D5:D13)</f>
        <v>5.75106</v>
      </c>
      <c r="E14" s="22" t="n">
        <f aca="false">SUM(E5:E13)</f>
        <v>13.034648</v>
      </c>
      <c r="F14" s="22" t="n">
        <f aca="false">SUM(F5:F13)</f>
        <v>23.76643</v>
      </c>
      <c r="G14" s="22" t="n">
        <f aca="false">SUM(G5:G13)</f>
        <v>31.893168</v>
      </c>
      <c r="H14" s="22" t="n">
        <f aca="false">SUM(H5:H13)</f>
        <v>37.61955</v>
      </c>
      <c r="I14" s="22" t="n">
        <f aca="false">SUM(I5:I13)</f>
        <v>42.743416</v>
      </c>
      <c r="J14" s="22" t="n">
        <f aca="false">SUM(J5:J13)</f>
        <v>46.809786</v>
      </c>
      <c r="K14" s="22" t="n">
        <f aca="false">SUM(K5:K13)</f>
        <v>52.749664</v>
      </c>
      <c r="L14" s="22" t="n">
        <f aca="false">SUM(L5:L13)</f>
        <v>58.27813</v>
      </c>
    </row>
    <row r="16" customFormat="false" ht="15" hidden="false" customHeight="false" outlineLevel="0" collapsed="false">
      <c r="A16" s="21" t="s">
        <v>197</v>
      </c>
      <c r="B16" s="22" t="n">
        <f aca="false">B3-B14</f>
        <v>0</v>
      </c>
      <c r="C16" s="22" t="n">
        <f aca="false">C3-C14</f>
        <v>2.11615</v>
      </c>
      <c r="D16" s="22" t="n">
        <f aca="false">D3-D14</f>
        <v>4.82994</v>
      </c>
      <c r="E16" s="22" t="n">
        <f aca="false">E3-E14</f>
        <v>11.202952</v>
      </c>
      <c r="F16" s="22" t="n">
        <f aca="false">F3-F14</f>
        <v>23.93057</v>
      </c>
      <c r="G16" s="22" t="n">
        <f aca="false">G3-G14</f>
        <v>41.751632</v>
      </c>
      <c r="H16" s="22" t="n">
        <f aca="false">H3-H14</f>
        <v>51.24745</v>
      </c>
      <c r="I16" s="22" t="n">
        <f aca="false">I3-I14</f>
        <v>66.968384</v>
      </c>
      <c r="J16" s="22" t="n">
        <f aca="false">J3-J14</f>
        <v>76.942814</v>
      </c>
      <c r="K16" s="22" t="n">
        <f aca="false">K3-K14</f>
        <v>89.392736</v>
      </c>
      <c r="L16" s="22" t="n">
        <f aca="false">L3-L14</f>
        <v>101.70487</v>
      </c>
    </row>
    <row r="17" customFormat="false" ht="15" hidden="false" customHeight="false" outlineLevel="0" collapsed="false">
      <c r="A17" s="11" t="s">
        <v>198</v>
      </c>
      <c r="B17" s="24" t="n">
        <f aca="false">IF(B3&gt;0,B16/B3,0)</f>
        <v>0</v>
      </c>
      <c r="C17" s="24" t="n">
        <f aca="false">IF(C3&gt;0,C16/C3,0)</f>
        <v>0.362044482463644</v>
      </c>
      <c r="D17" s="24" t="n">
        <f aca="false">IF(D3&gt;0,D16/D3,0)</f>
        <v>0.456472923164162</v>
      </c>
      <c r="E17" s="24" t="n">
        <f aca="false">IF(E3&gt;0,E16/E3,0)</f>
        <v>0.462213750536357</v>
      </c>
      <c r="F17" s="24" t="n">
        <f aca="false">IF(F3&gt;0,F16/F3,0)</f>
        <v>0.501720653290563</v>
      </c>
      <c r="G17" s="24" t="n">
        <f aca="false">IF(G3&gt;0,G16/G3,0)</f>
        <v>0.566932519336056</v>
      </c>
      <c r="H17" s="24" t="n">
        <f aca="false">IF(H3&gt;0,H16/H3,0)</f>
        <v>0.576675818920409</v>
      </c>
      <c r="I17" s="24" t="n">
        <f aca="false">IF(I3&gt;0,I16/I3,0)</f>
        <v>0.610402746103883</v>
      </c>
      <c r="J17" s="24" t="n">
        <f aca="false">IF(J3&gt;0,J16/J3,0)</f>
        <v>0.621747050162987</v>
      </c>
      <c r="K17" s="24" t="n">
        <f aca="false">IF(K3&gt;0,K16/K3,0)</f>
        <v>0.628895642679454</v>
      </c>
      <c r="L17" s="24" t="n">
        <f aca="false">IF(L3&gt;0,L16/L3,0)</f>
        <v>0.635722983066951</v>
      </c>
    </row>
    <row r="19" customFormat="false" ht="15" hidden="false" customHeight="false" outlineLevel="0" collapsed="false">
      <c r="A19" s="25" t="s">
        <v>199</v>
      </c>
      <c r="B19" s="27" t="n">
        <f aca="false">B16</f>
        <v>0</v>
      </c>
      <c r="C19" s="27" t="n">
        <f aca="false">C16</f>
        <v>2.11615</v>
      </c>
      <c r="D19" s="27" t="n">
        <f aca="false">D16</f>
        <v>4.82994</v>
      </c>
      <c r="E19" s="27" t="n">
        <f aca="false">E16</f>
        <v>11.202952</v>
      </c>
      <c r="F19" s="27" t="n">
        <f aca="false">F16</f>
        <v>23.93057</v>
      </c>
      <c r="G19" s="27" t="n">
        <f aca="false">G16</f>
        <v>41.751632</v>
      </c>
      <c r="H19" s="27" t="n">
        <f aca="false">H16</f>
        <v>51.24745</v>
      </c>
      <c r="I19" s="27" t="n">
        <f aca="false">I16</f>
        <v>66.968384</v>
      </c>
      <c r="J19" s="27" t="n">
        <f aca="false">J16</f>
        <v>76.942814</v>
      </c>
      <c r="K19" s="27" t="n">
        <f aca="false">K16</f>
        <v>89.392736</v>
      </c>
      <c r="L19" s="27" t="n">
        <f aca="false">L16</f>
        <v>101.70487</v>
      </c>
    </row>
    <row r="20" customFormat="false" ht="15" hidden="false" customHeight="false" outlineLevel="0" collapsed="false">
      <c r="A20" s="11" t="s">
        <v>200</v>
      </c>
      <c r="B20" s="24" t="n">
        <f aca="false">IF(B3&gt;0,B19/B3,0)</f>
        <v>0</v>
      </c>
      <c r="C20" s="24" t="n">
        <f aca="false">IF(C3&gt;0,C19/C3,0)</f>
        <v>0.362044482463644</v>
      </c>
      <c r="D20" s="24" t="n">
        <f aca="false">IF(D3&gt;0,D19/D3,0)</f>
        <v>0.456472923164162</v>
      </c>
      <c r="E20" s="24" t="n">
        <f aca="false">IF(E3&gt;0,E19/E3,0)</f>
        <v>0.462213750536357</v>
      </c>
      <c r="F20" s="24" t="n">
        <f aca="false">IF(F3&gt;0,F19/F3,0)</f>
        <v>0.501720653290563</v>
      </c>
      <c r="G20" s="24" t="n">
        <f aca="false">IF(G3&gt;0,G19/G3,0)</f>
        <v>0.566932519336056</v>
      </c>
      <c r="H20" s="24" t="n">
        <f aca="false">IF(H3&gt;0,H19/H3,0)</f>
        <v>0.576675818920409</v>
      </c>
      <c r="I20" s="24" t="n">
        <f aca="false">IF(I3&gt;0,I19/I3,0)</f>
        <v>0.610402746103883</v>
      </c>
      <c r="J20" s="24" t="n">
        <f aca="false">IF(J3&gt;0,J19/J3,0)</f>
        <v>0.621747050162987</v>
      </c>
      <c r="K20" s="24" t="n">
        <f aca="false">IF(K3&gt;0,K19/K3,0)</f>
        <v>0.628895642679454</v>
      </c>
      <c r="L20" s="24" t="n">
        <f aca="false">IF(L3&gt;0,L19/L3,0)</f>
        <v>0.635722983066951</v>
      </c>
    </row>
    <row r="21" customFormat="false" ht="15" hidden="false" customHeight="false" outlineLevel="0" collapsed="false">
      <c r="A21" s="19" t="s">
        <v>201</v>
      </c>
      <c r="B21" s="20" t="n">
        <f aca="false">B6*'1. Assumptions'!B94</f>
        <v>0</v>
      </c>
      <c r="C21" s="20" t="n">
        <f aca="false">C6*'1. Assumptions'!C94</f>
        <v>0.049098</v>
      </c>
      <c r="D21" s="20" t="n">
        <f aca="false">D6*'1. Assumptions'!D94</f>
        <v>0.074067</v>
      </c>
      <c r="E21" s="20" t="n">
        <f aca="false">E6*'1. Assumptions'!E94</f>
        <v>0.15269688</v>
      </c>
      <c r="F21" s="20" t="n">
        <f aca="false">F6*'1. Assumptions'!F94</f>
        <v>0.2671032</v>
      </c>
      <c r="G21" s="20" t="n">
        <f aca="false">G6*'1. Assumptions'!G94</f>
        <v>0.36085952</v>
      </c>
      <c r="H21" s="20" t="n">
        <f aca="false">H6*'1. Assumptions'!H94</f>
        <v>0.3732414</v>
      </c>
      <c r="I21" s="20" t="n">
        <f aca="false">I6*'1. Assumptions'!I94</f>
        <v>0.46078956</v>
      </c>
      <c r="J21" s="20" t="n">
        <f aca="false">J6*'1. Assumptions'!J94</f>
        <v>0.4331341</v>
      </c>
      <c r="K21" s="20" t="n">
        <f aca="false">K6*'1. Assumptions'!K94</f>
        <v>0.4974984</v>
      </c>
      <c r="L21" s="20" t="n">
        <f aca="false">L6*'1. Assumptions'!L94</f>
        <v>0.5599405</v>
      </c>
    </row>
    <row r="22" customFormat="false" ht="15" hidden="false" customHeight="false" outlineLevel="0" collapsed="false">
      <c r="A22" s="25" t="s">
        <v>202</v>
      </c>
      <c r="B22" s="27" t="n">
        <f aca="false">B19-B21</f>
        <v>0</v>
      </c>
      <c r="C22" s="27" t="n">
        <f aca="false">C19-C21</f>
        <v>2.067052</v>
      </c>
      <c r="D22" s="27" t="n">
        <f aca="false">D19-D21</f>
        <v>4.755873</v>
      </c>
      <c r="E22" s="27" t="n">
        <f aca="false">E19-E21</f>
        <v>11.05025512</v>
      </c>
      <c r="F22" s="27" t="n">
        <f aca="false">F19-F21</f>
        <v>23.6634668</v>
      </c>
      <c r="G22" s="27" t="n">
        <f aca="false">G19-G21</f>
        <v>41.39077248</v>
      </c>
      <c r="H22" s="27" t="n">
        <f aca="false">H19-H21</f>
        <v>50.8742086</v>
      </c>
      <c r="I22" s="27" t="n">
        <f aca="false">I19-I21</f>
        <v>66.50759444</v>
      </c>
      <c r="J22" s="27" t="n">
        <f aca="false">J19-J21</f>
        <v>76.5096799</v>
      </c>
      <c r="K22" s="27" t="n">
        <f aca="false">K19-K21</f>
        <v>88.8952376</v>
      </c>
      <c r="L22" s="27" t="n">
        <f aca="false">L19-L21</f>
        <v>101.1449295</v>
      </c>
    </row>
    <row r="23" customFormat="false" ht="15" hidden="false" customHeight="false" outlineLevel="0" collapsed="false">
      <c r="A23" s="19" t="s">
        <v>203</v>
      </c>
      <c r="B23" s="20" t="n">
        <f aca="false">MAX(0,B22)*'1. Assumptions'!B93</f>
        <v>0</v>
      </c>
      <c r="C23" s="20" t="n">
        <f aca="false">MAX(0,C22)*'1. Assumptions'!C93</f>
        <v>0</v>
      </c>
      <c r="D23" s="20" t="n">
        <f aca="false">MAX(0,D22)*'1. Assumptions'!D93</f>
        <v>0</v>
      </c>
      <c r="E23" s="20" t="n">
        <f aca="false">MAX(0,E22)*'1. Assumptions'!E93</f>
        <v>0</v>
      </c>
      <c r="F23" s="20" t="n">
        <f aca="false">MAX(0,F22)*'1. Assumptions'!F93</f>
        <v>0</v>
      </c>
      <c r="G23" s="20" t="n">
        <f aca="false">MAX(0,G22)*'1. Assumptions'!G93</f>
        <v>0</v>
      </c>
      <c r="H23" s="20" t="n">
        <f aca="false">MAX(0,H22)*'1. Assumptions'!H93</f>
        <v>2.54371043</v>
      </c>
      <c r="I23" s="20" t="n">
        <f aca="false">MAX(0,I22)*'1. Assumptions'!I93</f>
        <v>6.650759444</v>
      </c>
      <c r="J23" s="20" t="n">
        <f aca="false">MAX(0,J22)*'1. Assumptions'!J93</f>
        <v>11.476451985</v>
      </c>
      <c r="K23" s="20" t="n">
        <f aca="false">MAX(0,K22)*'1. Assumptions'!K93</f>
        <v>17.77904752</v>
      </c>
      <c r="L23" s="20" t="n">
        <f aca="false">MAX(0,L22)*'1. Assumptions'!L93</f>
        <v>20.2289859</v>
      </c>
    </row>
    <row r="24" customFormat="false" ht="15" hidden="false" customHeight="false" outlineLevel="0" collapsed="false">
      <c r="A24" s="21" t="s">
        <v>204</v>
      </c>
      <c r="B24" s="22" t="n">
        <f aca="false">B22-B23</f>
        <v>0</v>
      </c>
      <c r="C24" s="22" t="n">
        <f aca="false">C22-C23</f>
        <v>2.067052</v>
      </c>
      <c r="D24" s="22" t="n">
        <f aca="false">D22-D23</f>
        <v>4.755873</v>
      </c>
      <c r="E24" s="22" t="n">
        <f aca="false">E22-E23</f>
        <v>11.05025512</v>
      </c>
      <c r="F24" s="22" t="n">
        <f aca="false">F22-F23</f>
        <v>23.6634668</v>
      </c>
      <c r="G24" s="22" t="n">
        <f aca="false">G22-G23</f>
        <v>41.39077248</v>
      </c>
      <c r="H24" s="22" t="n">
        <f aca="false">H22-H23</f>
        <v>48.33049817</v>
      </c>
      <c r="I24" s="22" t="n">
        <f aca="false">I22-I23</f>
        <v>59.856834996</v>
      </c>
      <c r="J24" s="22" t="n">
        <f aca="false">J22-J23</f>
        <v>65.033227915</v>
      </c>
      <c r="K24" s="22" t="n">
        <f aca="false">K22-K23</f>
        <v>71.11619008</v>
      </c>
      <c r="L24" s="22" t="n">
        <f aca="false">L22-L23</f>
        <v>80.9159436</v>
      </c>
    </row>
    <row r="25" customFormat="false" ht="15" hidden="false" customHeight="false" outlineLevel="0" collapsed="false">
      <c r="A25" s="11" t="s">
        <v>205</v>
      </c>
      <c r="B25" s="24" t="n">
        <f aca="false">IF(B3&gt;0,B24/B3,0)</f>
        <v>0</v>
      </c>
      <c r="C25" s="24" t="n">
        <f aca="false">IF(C3&gt;0,C24/C3,0)</f>
        <v>0.353644482463644</v>
      </c>
      <c r="D25" s="24" t="n">
        <f aca="false">IF(D3&gt;0,D24/D3,0)</f>
        <v>0.449472923164162</v>
      </c>
      <c r="E25" s="24" t="n">
        <f aca="false">IF(E3&gt;0,E24/E3,0)</f>
        <v>0.455913750536357</v>
      </c>
      <c r="F25" s="24" t="n">
        <f aca="false">IF(F3&gt;0,F24/F3,0)</f>
        <v>0.496120653290563</v>
      </c>
      <c r="G25" s="24" t="n">
        <f aca="false">IF(G3&gt;0,G24/G3,0)</f>
        <v>0.562032519336056</v>
      </c>
      <c r="H25" s="24" t="n">
        <f aca="false">IF(H3&gt;0,H24/H3,0)</f>
        <v>0.543852027974389</v>
      </c>
      <c r="I25" s="24" t="n">
        <f aca="false">IF(I3&gt;0,I24/I3,0)</f>
        <v>0.545582471493495</v>
      </c>
      <c r="J25" s="24" t="n">
        <f aca="false">IF(J3&gt;0,J24/J3,0)</f>
        <v>0.525509992638539</v>
      </c>
      <c r="K25" s="24" t="n">
        <f aca="false">IF(K3&gt;0,K24/K3,0)</f>
        <v>0.500316514143563</v>
      </c>
      <c r="L25" s="24" t="n">
        <f aca="false">IF(L3&gt;0,L24/L3,0)</f>
        <v>0.505778386453561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93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8" t="s">
        <v>206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A2" s="10" t="s">
        <v>207</v>
      </c>
      <c r="B2" s="10" t="s">
        <v>208</v>
      </c>
      <c r="C2" s="10" t="s">
        <v>209</v>
      </c>
      <c r="D2" s="10" t="s">
        <v>210</v>
      </c>
      <c r="E2" s="10" t="s">
        <v>211</v>
      </c>
      <c r="F2" s="10" t="s">
        <v>212</v>
      </c>
      <c r="G2" s="10" t="s">
        <v>213</v>
      </c>
    </row>
    <row r="3" customFormat="false" ht="15" hidden="false" customHeight="false" outlineLevel="0" collapsed="false">
      <c r="A3" s="11" t="s">
        <v>214</v>
      </c>
      <c r="B3" s="15" t="n">
        <v>348</v>
      </c>
      <c r="C3" s="15" t="n">
        <v>50</v>
      </c>
      <c r="D3" s="15" t="n">
        <v>3480</v>
      </c>
      <c r="E3" s="28" t="n">
        <f aca="false">IF(C3&gt;0,D3/C3,0)</f>
        <v>69.6</v>
      </c>
      <c r="F3" s="29" t="n">
        <f aca="false">IF(B3&gt;0,C3/B3*12,0)</f>
        <v>1.72413793103448</v>
      </c>
      <c r="G3" s="16" t="n">
        <v>0.1</v>
      </c>
    </row>
    <row r="4" customFormat="false" ht="15" hidden="false" customHeight="false" outlineLevel="0" collapsed="false">
      <c r="A4" s="11" t="s">
        <v>215</v>
      </c>
      <c r="B4" s="15" t="n">
        <v>150000</v>
      </c>
      <c r="C4" s="15" t="n">
        <v>10000</v>
      </c>
      <c r="D4" s="15" t="n">
        <v>937500</v>
      </c>
      <c r="E4" s="28" t="n">
        <f aca="false">IF(C4&gt;0,D4/C4,0)</f>
        <v>93.75</v>
      </c>
      <c r="F4" s="29" t="n">
        <f aca="false">IF(B4&gt;0,C4/B4*12,0)</f>
        <v>0.8</v>
      </c>
      <c r="G4" s="16" t="n">
        <v>0.05</v>
      </c>
    </row>
    <row r="5" customFormat="false" ht="15" hidden="false" customHeight="false" outlineLevel="0" collapsed="false">
      <c r="A5" s="11" t="s">
        <v>216</v>
      </c>
      <c r="B5" s="15" t="n">
        <v>3000000</v>
      </c>
      <c r="C5" s="15" t="n">
        <v>100000</v>
      </c>
      <c r="D5" s="15" t="n">
        <v>56250000</v>
      </c>
      <c r="E5" s="28" t="n">
        <f aca="false">IF(C5&gt;0,D5/C5,0)</f>
        <v>562.5</v>
      </c>
      <c r="F5" s="29" t="n">
        <f aca="false">IF(B5&gt;0,C5/B5*12,0)</f>
        <v>0.4</v>
      </c>
      <c r="G5" s="16" t="n">
        <v>0.02</v>
      </c>
    </row>
    <row r="6" customFormat="false" ht="15" hidden="false" customHeight="false" outlineLevel="0" collapsed="false">
      <c r="A6" s="11" t="s">
        <v>217</v>
      </c>
      <c r="B6" s="15" t="n">
        <v>300</v>
      </c>
      <c r="C6" s="15" t="n">
        <v>30</v>
      </c>
      <c r="D6" s="15" t="n">
        <v>3000</v>
      </c>
      <c r="E6" s="28" t="n">
        <f aca="false">IF(C6&gt;0,D6/C6,0)</f>
        <v>100</v>
      </c>
      <c r="F6" s="29" t="n">
        <f aca="false">IF(B6&gt;0,C6/B6*12,0)</f>
        <v>1.2</v>
      </c>
      <c r="G6" s="16" t="n">
        <v>0</v>
      </c>
    </row>
    <row r="7" customFormat="false" ht="15" hidden="false" customHeight="false" outlineLevel="0" collapsed="false">
      <c r="A7" s="11" t="s">
        <v>218</v>
      </c>
      <c r="B7" s="15" t="n">
        <v>100000</v>
      </c>
      <c r="C7" s="15" t="n">
        <v>20000</v>
      </c>
      <c r="D7" s="15" t="n">
        <v>412500</v>
      </c>
      <c r="E7" s="28" t="n">
        <f aca="false">IF(C7&gt;0,D7/C7,0)</f>
        <v>20.625</v>
      </c>
      <c r="F7" s="29" t="n">
        <f aca="false">IF(B7&gt;0,C7/B7*12,0)</f>
        <v>2.4</v>
      </c>
      <c r="G7" s="16" t="n">
        <v>0.08</v>
      </c>
    </row>
    <row r="10" customFormat="false" ht="15" hidden="false" customHeight="false" outlineLevel="0" collapsed="false">
      <c r="A10" s="8" t="s">
        <v>219</v>
      </c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10" t="s">
        <v>220</v>
      </c>
      <c r="B11" s="10" t="s">
        <v>221</v>
      </c>
      <c r="C11" s="10" t="s">
        <v>222</v>
      </c>
      <c r="D11" s="10" t="s">
        <v>209</v>
      </c>
      <c r="E11" s="10" t="s">
        <v>223</v>
      </c>
      <c r="F11" s="10"/>
      <c r="G11" s="10"/>
    </row>
    <row r="12" customFormat="false" ht="23.85" hidden="false" customHeight="false" outlineLevel="0" collapsed="false">
      <c r="A12" s="11" t="s">
        <v>224</v>
      </c>
      <c r="B12" s="15" t="n">
        <v>10</v>
      </c>
      <c r="C12" s="16" t="n">
        <v>0.05</v>
      </c>
      <c r="D12" s="17" t="n">
        <f aca="false">IF(C12&gt;0,B12/C12,0)</f>
        <v>200</v>
      </c>
      <c r="E12" s="11" t="s">
        <v>225</v>
      </c>
    </row>
    <row r="13" customFormat="false" ht="15" hidden="false" customHeight="false" outlineLevel="0" collapsed="false">
      <c r="A13" s="11" t="s">
        <v>226</v>
      </c>
      <c r="B13" s="15" t="n">
        <v>50</v>
      </c>
      <c r="C13" s="16" t="n">
        <v>0.2</v>
      </c>
      <c r="D13" s="17" t="n">
        <f aca="false">IF(C13&gt;0,B13/C13,0)</f>
        <v>250</v>
      </c>
      <c r="E13" s="11" t="s">
        <v>227</v>
      </c>
    </row>
    <row r="14" customFormat="false" ht="15" hidden="false" customHeight="false" outlineLevel="0" collapsed="false">
      <c r="A14" s="11" t="s">
        <v>228</v>
      </c>
      <c r="B14" s="15" t="n">
        <v>5000</v>
      </c>
      <c r="C14" s="16" t="n">
        <v>0.3</v>
      </c>
      <c r="D14" s="17" t="n">
        <f aca="false">IF(C14&gt;0,B14/C14,0)</f>
        <v>16666.6666666667</v>
      </c>
      <c r="E14" s="11" t="s">
        <v>229</v>
      </c>
    </row>
    <row r="15" customFormat="false" ht="15" hidden="false" customHeight="false" outlineLevel="0" collapsed="false">
      <c r="A15" s="11" t="s">
        <v>230</v>
      </c>
      <c r="B15" s="15" t="n">
        <v>20</v>
      </c>
      <c r="C15" s="16" t="n">
        <v>0.03</v>
      </c>
      <c r="D15" s="17" t="n">
        <f aca="false">IF(C15&gt;0,B15/C15,0)</f>
        <v>666.666666666667</v>
      </c>
      <c r="E15" s="11" t="s">
        <v>231</v>
      </c>
    </row>
    <row r="16" customFormat="false" ht="15" hidden="false" customHeight="false" outlineLevel="0" collapsed="false">
      <c r="A16" s="11" t="s">
        <v>232</v>
      </c>
      <c r="B16" s="15" t="n">
        <v>0</v>
      </c>
      <c r="C16" s="16" t="n">
        <v>0.4</v>
      </c>
      <c r="D16" s="17" t="n">
        <f aca="false">IF(C16&gt;0,B16/C16,0)</f>
        <v>0</v>
      </c>
      <c r="E16" s="11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2" min="2" style="0" width="16"/>
  </cols>
  <sheetData>
    <row r="1" customFormat="false" ht="15" hidden="false" customHeight="false" outlineLevel="0" collapsed="false">
      <c r="A1" s="8" t="s">
        <v>234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10"/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51</v>
      </c>
      <c r="L2" s="10" t="s">
        <v>52</v>
      </c>
    </row>
    <row r="3" customFormat="false" ht="15" hidden="false" customHeight="false" outlineLevel="0" collapsed="false">
      <c r="A3" s="8" t="s">
        <v>235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customFormat="false" ht="15" hidden="false" customHeight="false" outlineLevel="0" collapsed="false">
      <c r="A4" s="19" t="s">
        <v>236</v>
      </c>
      <c r="B4" s="26" t="n">
        <f aca="false">'3. P&amp;L'!B24</f>
        <v>0</v>
      </c>
      <c r="C4" s="26" t="n">
        <f aca="false">'3. P&amp;L'!C24</f>
        <v>2.067052</v>
      </c>
      <c r="D4" s="26" t="n">
        <f aca="false">'3. P&amp;L'!D24</f>
        <v>4.755873</v>
      </c>
      <c r="E4" s="26" t="n">
        <f aca="false">'3. P&amp;L'!E24</f>
        <v>11.05025512</v>
      </c>
      <c r="F4" s="26" t="n">
        <f aca="false">'3. P&amp;L'!F24</f>
        <v>23.6634668</v>
      </c>
      <c r="G4" s="26" t="n">
        <f aca="false">'3. P&amp;L'!G24</f>
        <v>41.39077248</v>
      </c>
      <c r="H4" s="26" t="n">
        <f aca="false">'3. P&amp;L'!H24</f>
        <v>48.33049817</v>
      </c>
      <c r="I4" s="26" t="n">
        <f aca="false">'3. P&amp;L'!I24</f>
        <v>59.856834996</v>
      </c>
      <c r="J4" s="26" t="n">
        <f aca="false">'3. P&amp;L'!J24</f>
        <v>65.033227915</v>
      </c>
      <c r="K4" s="26" t="n">
        <f aca="false">'3. P&amp;L'!K24</f>
        <v>71.11619008</v>
      </c>
      <c r="L4" s="26" t="n">
        <f aca="false">'3. P&amp;L'!L24</f>
        <v>80.9159436</v>
      </c>
    </row>
    <row r="5" customFormat="false" ht="15" hidden="false" customHeight="false" outlineLevel="0" collapsed="false">
      <c r="A5" s="19" t="s">
        <v>237</v>
      </c>
      <c r="B5" s="26" t="n">
        <f aca="false">'3. P&amp;L'!B21</f>
        <v>0</v>
      </c>
      <c r="C5" s="26" t="n">
        <f aca="false">'3. P&amp;L'!C21</f>
        <v>0.049098</v>
      </c>
      <c r="D5" s="26" t="n">
        <f aca="false">'3. P&amp;L'!D21</f>
        <v>0.074067</v>
      </c>
      <c r="E5" s="26" t="n">
        <f aca="false">'3. P&amp;L'!E21</f>
        <v>0.15269688</v>
      </c>
      <c r="F5" s="26" t="n">
        <f aca="false">'3. P&amp;L'!F21</f>
        <v>0.2671032</v>
      </c>
      <c r="G5" s="26" t="n">
        <f aca="false">'3. P&amp;L'!G21</f>
        <v>0.36085952</v>
      </c>
      <c r="H5" s="26" t="n">
        <f aca="false">'3. P&amp;L'!H21</f>
        <v>0.3732414</v>
      </c>
      <c r="I5" s="26" t="n">
        <f aca="false">'3. P&amp;L'!I21</f>
        <v>0.46078956</v>
      </c>
      <c r="J5" s="26" t="n">
        <f aca="false">'3. P&amp;L'!J21</f>
        <v>0.4331341</v>
      </c>
      <c r="K5" s="26" t="n">
        <f aca="false">'3. P&amp;L'!K21</f>
        <v>0.4974984</v>
      </c>
      <c r="L5" s="26" t="n">
        <f aca="false">'3. P&amp;L'!L21</f>
        <v>0.5599405</v>
      </c>
    </row>
    <row r="6" customFormat="false" ht="15" hidden="false" customHeight="false" outlineLevel="0" collapsed="false">
      <c r="A6" s="19" t="s">
        <v>238</v>
      </c>
      <c r="B6" s="20" t="n">
        <f aca="false">0</f>
        <v>0</v>
      </c>
      <c r="C6" s="20" t="n">
        <f aca="false">0</f>
        <v>0</v>
      </c>
      <c r="D6" s="20" t="n">
        <f aca="false">-0.05*('2. Revenue'!D44-'2. Revenue'!C44)</f>
        <v>-0.2368</v>
      </c>
      <c r="E6" s="20" t="n">
        <f aca="false">-0.05*('2. Revenue'!E44-'2. Revenue'!D44)</f>
        <v>-0.68283</v>
      </c>
      <c r="F6" s="20" t="n">
        <f aca="false">-0.05*('2. Revenue'!F44-'2. Revenue'!E44)</f>
        <v>-1.17297</v>
      </c>
      <c r="G6" s="20" t="n">
        <f aca="false">-0.05*('2. Revenue'!G44-'2. Revenue'!F44)</f>
        <v>-1.29739</v>
      </c>
      <c r="H6" s="20" t="n">
        <f aca="false">-0.05*('2. Revenue'!H44-'2. Revenue'!G44)</f>
        <v>-0.76111</v>
      </c>
      <c r="I6" s="20" t="n">
        <f aca="false">-0.05*('2. Revenue'!I44-'2. Revenue'!H44)</f>
        <v>-1.04224</v>
      </c>
      <c r="J6" s="20" t="n">
        <f aca="false">-0.05*('2. Revenue'!J44-'2. Revenue'!I44)</f>
        <v>-0.70204</v>
      </c>
      <c r="K6" s="20" t="n">
        <f aca="false">-0.05*('2. Revenue'!K44-'2. Revenue'!J44)</f>
        <v>-0.919490000000001</v>
      </c>
      <c r="L6" s="20" t="n">
        <f aca="false">-0.05*('2. Revenue'!L44-'2. Revenue'!K44)</f>
        <v>-0.89203</v>
      </c>
    </row>
    <row r="7" customFormat="false" ht="15" hidden="false" customHeight="false" outlineLevel="0" collapsed="false">
      <c r="A7" s="21" t="s">
        <v>239</v>
      </c>
      <c r="B7" s="22" t="n">
        <f aca="false">B4+B5+B6</f>
        <v>0</v>
      </c>
      <c r="C7" s="22" t="n">
        <f aca="false">C4+C5+C6</f>
        <v>2.11615</v>
      </c>
      <c r="D7" s="22" t="n">
        <f aca="false">D4+D5+D6</f>
        <v>4.59314</v>
      </c>
      <c r="E7" s="22" t="n">
        <f aca="false">E4+E5+E6</f>
        <v>10.520122</v>
      </c>
      <c r="F7" s="22" t="n">
        <f aca="false">F4+F5+F6</f>
        <v>22.7576</v>
      </c>
      <c r="G7" s="22" t="n">
        <f aca="false">G4+G5+G6</f>
        <v>40.454242</v>
      </c>
      <c r="H7" s="22" t="n">
        <f aca="false">H4+H5+H6</f>
        <v>47.94262957</v>
      </c>
      <c r="I7" s="22" t="n">
        <f aca="false">I4+I5+I6</f>
        <v>59.275384556</v>
      </c>
      <c r="J7" s="22" t="n">
        <f aca="false">J4+J5+J6</f>
        <v>64.764322015</v>
      </c>
      <c r="K7" s="22" t="n">
        <f aca="false">K4+K5+K6</f>
        <v>70.69419848</v>
      </c>
      <c r="L7" s="22" t="n">
        <f aca="false">L4+L5+L6</f>
        <v>80.5838541</v>
      </c>
    </row>
    <row r="9" customFormat="false" ht="15" hidden="false" customHeight="false" outlineLevel="0" collapsed="false">
      <c r="A9" s="8" t="s">
        <v>240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customFormat="false" ht="15" hidden="false" customHeight="false" outlineLevel="0" collapsed="false">
      <c r="A10" s="19" t="s">
        <v>241</v>
      </c>
      <c r="B10" s="18" t="n">
        <v>0</v>
      </c>
      <c r="C10" s="18" t="n">
        <v>-1</v>
      </c>
      <c r="D10" s="18" t="n">
        <v>-1.5</v>
      </c>
      <c r="E10" s="18" t="n">
        <v>-3</v>
      </c>
      <c r="F10" s="18" t="n">
        <v>-4</v>
      </c>
      <c r="G10" s="18" t="n">
        <v>-5</v>
      </c>
      <c r="H10" s="18" t="n">
        <v>-6</v>
      </c>
      <c r="I10" s="18" t="n">
        <v>-7</v>
      </c>
      <c r="J10" s="18" t="n">
        <v>-8</v>
      </c>
      <c r="K10" s="18" t="n">
        <v>-9</v>
      </c>
      <c r="L10" s="18" t="n">
        <v>-10</v>
      </c>
    </row>
    <row r="11" customFormat="false" ht="15" hidden="false" customHeight="false" outlineLevel="0" collapsed="false">
      <c r="A11" s="21" t="s">
        <v>242</v>
      </c>
      <c r="B11" s="22" t="n">
        <f aca="false">B10</f>
        <v>0</v>
      </c>
      <c r="C11" s="22" t="n">
        <f aca="false">C10</f>
        <v>-1</v>
      </c>
      <c r="D11" s="22" t="n">
        <f aca="false">D10</f>
        <v>-1.5</v>
      </c>
      <c r="E11" s="22" t="n">
        <f aca="false">E10</f>
        <v>-3</v>
      </c>
      <c r="F11" s="22" t="n">
        <f aca="false">F10</f>
        <v>-4</v>
      </c>
      <c r="G11" s="22" t="n">
        <f aca="false">G10</f>
        <v>-5</v>
      </c>
      <c r="H11" s="22" t="n">
        <f aca="false">H10</f>
        <v>-6</v>
      </c>
      <c r="I11" s="22" t="n">
        <f aca="false">I10</f>
        <v>-7</v>
      </c>
      <c r="J11" s="22" t="n">
        <f aca="false">J10</f>
        <v>-8</v>
      </c>
      <c r="K11" s="22" t="n">
        <f aca="false">K10</f>
        <v>-9</v>
      </c>
      <c r="L11" s="22" t="n">
        <f aca="false">L10</f>
        <v>-10</v>
      </c>
    </row>
    <row r="13" customFormat="false" ht="15" hidden="false" customHeight="false" outlineLevel="0" collapsed="false">
      <c r="A13" s="8" t="s">
        <v>243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customFormat="false" ht="15" hidden="false" customHeight="false" outlineLevel="0" collapsed="false">
      <c r="A14" s="19" t="s">
        <v>244</v>
      </c>
      <c r="B14" s="26" t="n">
        <f aca="false">'1. Assumptions'!B85+'1. Assumptions'!B86+'1. Assumptions'!B87</f>
        <v>0</v>
      </c>
      <c r="C14" s="26" t="n">
        <f aca="false">'1. Assumptions'!C85+'1. Assumptions'!C86+'1. Assumptions'!C87</f>
        <v>4</v>
      </c>
      <c r="D14" s="26" t="n">
        <f aca="false">'1. Assumptions'!D85+'1. Assumptions'!D86+'1. Assumptions'!D87</f>
        <v>13</v>
      </c>
      <c r="E14" s="26" t="n">
        <f aca="false">'1. Assumptions'!E85+'1. Assumptions'!E86+'1. Assumptions'!E87</f>
        <v>0</v>
      </c>
      <c r="F14" s="26" t="n">
        <f aca="false">'1. Assumptions'!F85+'1. Assumptions'!F86+'1. Assumptions'!F87</f>
        <v>40</v>
      </c>
      <c r="G14" s="26" t="n">
        <f aca="false">'1. Assumptions'!G85+'1. Assumptions'!G86+'1. Assumptions'!G87</f>
        <v>0</v>
      </c>
      <c r="H14" s="26" t="n">
        <f aca="false">'1. Assumptions'!H85+'1. Assumptions'!H86+'1. Assumptions'!H87</f>
        <v>0</v>
      </c>
      <c r="I14" s="26" t="n">
        <f aca="false">'1. Assumptions'!I85+'1. Assumptions'!I86+'1. Assumptions'!I87</f>
        <v>0</v>
      </c>
      <c r="J14" s="26" t="n">
        <f aca="false">'1. Assumptions'!J85+'1. Assumptions'!J86+'1. Assumptions'!J87</f>
        <v>0</v>
      </c>
      <c r="K14" s="26" t="n">
        <f aca="false">'1. Assumptions'!K85+'1. Assumptions'!K86+'1. Assumptions'!K87</f>
        <v>0</v>
      </c>
      <c r="L14" s="26" t="n">
        <f aca="false">'1. Assumptions'!L85+'1. Assumptions'!L86+'1. Assumptions'!L87</f>
        <v>0</v>
      </c>
    </row>
    <row r="15" customFormat="false" ht="15" hidden="false" customHeight="false" outlineLevel="0" collapsed="false">
      <c r="A15" s="21" t="s">
        <v>245</v>
      </c>
      <c r="B15" s="22" t="n">
        <f aca="false">B14</f>
        <v>0</v>
      </c>
      <c r="C15" s="22" t="n">
        <f aca="false">C14</f>
        <v>4</v>
      </c>
      <c r="D15" s="22" t="n">
        <f aca="false">D14</f>
        <v>13</v>
      </c>
      <c r="E15" s="22" t="n">
        <f aca="false">E14</f>
        <v>0</v>
      </c>
      <c r="F15" s="22" t="n">
        <f aca="false">F14</f>
        <v>40</v>
      </c>
      <c r="G15" s="22" t="n">
        <f aca="false">G14</f>
        <v>0</v>
      </c>
      <c r="H15" s="22" t="n">
        <f aca="false">H14</f>
        <v>0</v>
      </c>
      <c r="I15" s="22" t="n">
        <f aca="false">I14</f>
        <v>0</v>
      </c>
      <c r="J15" s="22" t="n">
        <f aca="false">J14</f>
        <v>0</v>
      </c>
      <c r="K15" s="22" t="n">
        <f aca="false">K14</f>
        <v>0</v>
      </c>
      <c r="L15" s="22" t="n">
        <f aca="false">L14</f>
        <v>0</v>
      </c>
    </row>
    <row r="17" customFormat="false" ht="15" hidden="false" customHeight="false" outlineLevel="0" collapsed="false">
      <c r="A17" s="25" t="s">
        <v>246</v>
      </c>
      <c r="B17" s="27" t="n">
        <f aca="false">B7+B11+B15</f>
        <v>0</v>
      </c>
      <c r="C17" s="27" t="n">
        <f aca="false">C7+C11+C15</f>
        <v>5.11615</v>
      </c>
      <c r="D17" s="27" t="n">
        <f aca="false">D7+D11+D15</f>
        <v>16.09314</v>
      </c>
      <c r="E17" s="27" t="n">
        <f aca="false">E7+E11+E15</f>
        <v>7.520122</v>
      </c>
      <c r="F17" s="27" t="n">
        <f aca="false">F7+F11+F15</f>
        <v>58.7576</v>
      </c>
      <c r="G17" s="27" t="n">
        <f aca="false">G7+G11+G15</f>
        <v>35.454242</v>
      </c>
      <c r="H17" s="27" t="n">
        <f aca="false">H7+H11+H15</f>
        <v>41.94262957</v>
      </c>
      <c r="I17" s="27" t="n">
        <f aca="false">I7+I11+I15</f>
        <v>52.275384556</v>
      </c>
      <c r="J17" s="27" t="n">
        <f aca="false">J7+J11+J15</f>
        <v>56.764322015</v>
      </c>
      <c r="K17" s="27" t="n">
        <f aca="false">K7+K11+K15</f>
        <v>61.69419848</v>
      </c>
      <c r="L17" s="27" t="n">
        <f aca="false">L7+L11+L15</f>
        <v>70.5838541</v>
      </c>
    </row>
    <row r="18" customFormat="false" ht="15" hidden="false" customHeight="false" outlineLevel="0" collapsed="false">
      <c r="A18" s="21" t="s">
        <v>247</v>
      </c>
      <c r="B18" s="22" t="n">
        <f aca="false">B17</f>
        <v>0</v>
      </c>
      <c r="C18" s="22" t="n">
        <f aca="false">B18+C17</f>
        <v>5.11615</v>
      </c>
      <c r="D18" s="22" t="n">
        <f aca="false">C18+D17</f>
        <v>21.20929</v>
      </c>
      <c r="E18" s="22" t="n">
        <f aca="false">D18+E17</f>
        <v>28.729412</v>
      </c>
      <c r="F18" s="22" t="n">
        <f aca="false">E18+F17</f>
        <v>87.487012</v>
      </c>
      <c r="G18" s="22" t="n">
        <f aca="false">F18+G17</f>
        <v>122.941254</v>
      </c>
      <c r="H18" s="22" t="n">
        <f aca="false">G18+H17</f>
        <v>164.88388357</v>
      </c>
      <c r="I18" s="22" t="n">
        <f aca="false">H18+I17</f>
        <v>217.159268126</v>
      </c>
      <c r="J18" s="22" t="n">
        <f aca="false">I18+J17</f>
        <v>273.923590141</v>
      </c>
      <c r="K18" s="22" t="n">
        <f aca="false">J18+K17</f>
        <v>335.617788621</v>
      </c>
      <c r="L18" s="22" t="n">
        <f aca="false">K18+L17</f>
        <v>406.201642721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4B6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8" t="s">
        <v>248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249</v>
      </c>
      <c r="B2" s="10" t="s">
        <v>250</v>
      </c>
      <c r="C2" s="10" t="s">
        <v>251</v>
      </c>
      <c r="D2" s="10" t="s">
        <v>252</v>
      </c>
      <c r="E2" s="10" t="s">
        <v>253</v>
      </c>
    </row>
    <row r="3" customFormat="false" ht="15" hidden="false" customHeight="false" outlineLevel="0" collapsed="false">
      <c r="A3" s="11" t="s">
        <v>254</v>
      </c>
      <c r="B3" s="16" t="n">
        <v>1</v>
      </c>
      <c r="C3" s="24" t="n">
        <f aca="false">1-B4-C5</f>
        <v>0.818181818181818</v>
      </c>
      <c r="D3" s="24" t="n">
        <f aca="false">C3*(1-D6/(D6+1))</f>
        <v>0.717838765008576</v>
      </c>
      <c r="E3" s="24" t="n">
        <f aca="false">D3*(1-E7/(E7+1))</f>
        <v>0.648314429414525</v>
      </c>
    </row>
    <row r="4" customFormat="false" ht="15" hidden="false" customHeight="false" outlineLevel="0" collapsed="false">
      <c r="A4" s="11" t="s">
        <v>255</v>
      </c>
      <c r="B4" s="16" t="n">
        <v>0</v>
      </c>
      <c r="C4" s="16" t="n">
        <v>0.1</v>
      </c>
      <c r="D4" s="16" t="n">
        <v>0.12</v>
      </c>
      <c r="E4" s="16" t="n">
        <v>0.15</v>
      </c>
    </row>
    <row r="5" customFormat="false" ht="15" hidden="false" customHeight="false" outlineLevel="0" collapsed="false">
      <c r="A5" s="11" t="s">
        <v>256</v>
      </c>
      <c r="B5" s="16" t="n">
        <v>0</v>
      </c>
      <c r="C5" s="24" t="n">
        <f aca="false">4/(18+4)</f>
        <v>0.181818181818182</v>
      </c>
      <c r="D5" s="24" t="n">
        <f aca="false">C5*(1-D6/(D6+1))</f>
        <v>0.159519725557461</v>
      </c>
      <c r="E5" s="24" t="n">
        <f aca="false">D5*(1-E7/(E7+1))</f>
        <v>0.144069873203228</v>
      </c>
    </row>
    <row r="6" customFormat="false" ht="15" hidden="false" customHeight="false" outlineLevel="0" collapsed="false">
      <c r="A6" s="11" t="s">
        <v>257</v>
      </c>
      <c r="B6" s="16" t="n">
        <v>0</v>
      </c>
      <c r="C6" s="16" t="n">
        <v>0</v>
      </c>
      <c r="D6" s="24" t="n">
        <f aca="false">13/(80+13)</f>
        <v>0.139784946236559</v>
      </c>
      <c r="E6" s="24" t="n">
        <f aca="false">D6*(1-E7/(E7+1))</f>
        <v>0.126246452654326</v>
      </c>
    </row>
    <row r="7" customFormat="false" ht="15" hidden="false" customHeight="false" outlineLevel="0" collapsed="false">
      <c r="A7" s="11" t="s">
        <v>258</v>
      </c>
      <c r="B7" s="16" t="n">
        <v>0</v>
      </c>
      <c r="C7" s="16" t="n">
        <v>0</v>
      </c>
      <c r="D7" s="16" t="n">
        <v>0</v>
      </c>
      <c r="E7" s="24" t="n">
        <f aca="false">40/(333+40)</f>
        <v>0.107238605898123</v>
      </c>
    </row>
    <row r="8" customFormat="false" ht="15" hidden="false" customHeight="false" outlineLevel="0" collapsed="false">
      <c r="A8" s="21" t="s">
        <v>259</v>
      </c>
      <c r="B8" s="30" t="n">
        <f aca="false">SUM(B3:B7)</f>
        <v>1</v>
      </c>
      <c r="C8" s="30" t="n">
        <f aca="false">SUM(C3:C7)</f>
        <v>1.1</v>
      </c>
      <c r="D8" s="30" t="n">
        <f aca="false">SUM(D3:D7)</f>
        <v>1.1371434368026</v>
      </c>
      <c r="E8" s="30" t="n">
        <f aca="false">SUM(E3:E7)</f>
        <v>1.1758693611702</v>
      </c>
    </row>
    <row r="10" customFormat="false" ht="15" hidden="false" customHeight="false" outlineLevel="0" collapsed="false">
      <c r="A10" s="8" t="s">
        <v>260</v>
      </c>
      <c r="B10" s="9"/>
      <c r="C10" s="9"/>
      <c r="D10" s="9"/>
      <c r="E10" s="9"/>
    </row>
    <row r="11" customFormat="false" ht="15" hidden="false" customHeight="false" outlineLevel="0" collapsed="false">
      <c r="A11" s="10" t="s">
        <v>261</v>
      </c>
      <c r="B11" s="10" t="s">
        <v>262</v>
      </c>
      <c r="C11" s="10" t="s">
        <v>263</v>
      </c>
      <c r="D11" s="10" t="s">
        <v>264</v>
      </c>
      <c r="E11" s="10"/>
    </row>
    <row r="12" customFormat="false" ht="15" hidden="false" customHeight="false" outlineLevel="0" collapsed="false">
      <c r="A12" s="11" t="s">
        <v>265</v>
      </c>
      <c r="B12" s="18" t="n">
        <v>4</v>
      </c>
      <c r="C12" s="18" t="n">
        <v>18</v>
      </c>
      <c r="D12" s="20" t="n">
        <f aca="false">B12+C12</f>
        <v>22</v>
      </c>
    </row>
    <row r="13" customFormat="false" ht="15" hidden="false" customHeight="false" outlineLevel="0" collapsed="false">
      <c r="A13" s="11" t="s">
        <v>266</v>
      </c>
      <c r="B13" s="18" t="n">
        <v>13</v>
      </c>
      <c r="C13" s="18" t="n">
        <v>80</v>
      </c>
      <c r="D13" s="20" t="n">
        <f aca="false">B13+C13</f>
        <v>93</v>
      </c>
    </row>
    <row r="14" customFormat="false" ht="15" hidden="false" customHeight="false" outlineLevel="0" collapsed="false">
      <c r="A14" s="11" t="s">
        <v>267</v>
      </c>
      <c r="B14" s="18" t="n">
        <v>40</v>
      </c>
      <c r="C14" s="18" t="n">
        <v>333</v>
      </c>
      <c r="D14" s="20" t="n">
        <f aca="false">B14+C14</f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8" t="s">
        <v>268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269</v>
      </c>
      <c r="B2" s="10" t="s">
        <v>270</v>
      </c>
      <c r="C2" s="10" t="s">
        <v>271</v>
      </c>
      <c r="D2" s="10" t="s">
        <v>272</v>
      </c>
      <c r="E2" s="10" t="s">
        <v>273</v>
      </c>
    </row>
    <row r="3" customFormat="false" ht="15" hidden="false" customHeight="false" outlineLevel="0" collapsed="false">
      <c r="A3" s="11" t="s">
        <v>274</v>
      </c>
      <c r="B3" s="18" t="n">
        <v>150</v>
      </c>
      <c r="C3" s="31" t="n">
        <v>17.5</v>
      </c>
      <c r="D3" s="20" t="n">
        <f aca="false">B3*C3</f>
        <v>2625</v>
      </c>
      <c r="E3" s="11" t="s">
        <v>275</v>
      </c>
    </row>
    <row r="4" customFormat="false" ht="23.85" hidden="false" customHeight="false" outlineLevel="0" collapsed="false">
      <c r="A4" s="11" t="s">
        <v>276</v>
      </c>
      <c r="B4" s="18" t="n">
        <v>80</v>
      </c>
      <c r="C4" s="31" t="n">
        <v>12.5</v>
      </c>
      <c r="D4" s="20" t="n">
        <f aca="false">B4*C4</f>
        <v>1000</v>
      </c>
      <c r="E4" s="11" t="s">
        <v>277</v>
      </c>
    </row>
    <row r="5" customFormat="false" ht="23.85" hidden="false" customHeight="false" outlineLevel="0" collapsed="false">
      <c r="A5" s="11" t="s">
        <v>278</v>
      </c>
      <c r="B5" s="18" t="n">
        <v>49</v>
      </c>
      <c r="C5" s="31" t="n">
        <v>10</v>
      </c>
      <c r="D5" s="20" t="n">
        <f aca="false">B5*C5</f>
        <v>490</v>
      </c>
      <c r="E5" s="11" t="s">
        <v>279</v>
      </c>
    </row>
    <row r="6" customFormat="false" ht="23.85" hidden="false" customHeight="false" outlineLevel="0" collapsed="false">
      <c r="A6" s="11" t="s">
        <v>280</v>
      </c>
      <c r="B6" s="18" t="n">
        <v>300</v>
      </c>
      <c r="C6" s="31" t="n">
        <v>15</v>
      </c>
      <c r="D6" s="20" t="n">
        <f aca="false">B6*C6</f>
        <v>4500</v>
      </c>
      <c r="E6" s="11" t="s">
        <v>281</v>
      </c>
    </row>
    <row r="9" customFormat="false" ht="15" hidden="false" customHeight="false" outlineLevel="0" collapsed="false">
      <c r="A9" s="8" t="s">
        <v>282</v>
      </c>
      <c r="B9" s="9"/>
      <c r="C9" s="9"/>
      <c r="D9" s="9"/>
      <c r="E9" s="9"/>
    </row>
    <row r="10" customFormat="false" ht="15" hidden="false" customHeight="false" outlineLevel="0" collapsed="false">
      <c r="A10" s="10" t="s">
        <v>283</v>
      </c>
      <c r="B10" s="10" t="s">
        <v>284</v>
      </c>
      <c r="C10" s="10" t="s">
        <v>285</v>
      </c>
      <c r="D10" s="10" t="s">
        <v>286</v>
      </c>
      <c r="E10" s="10"/>
    </row>
    <row r="11" customFormat="false" ht="15" hidden="false" customHeight="false" outlineLevel="0" collapsed="false">
      <c r="A11" s="11" t="s">
        <v>287</v>
      </c>
      <c r="B11" s="31" t="n">
        <v>10</v>
      </c>
      <c r="C11" s="31" t="n">
        <v>20</v>
      </c>
      <c r="D11" s="28" t="n">
        <f aca="false">(B11+C11)/2</f>
        <v>15</v>
      </c>
    </row>
    <row r="12" customFormat="false" ht="15" hidden="false" customHeight="false" outlineLevel="0" collapsed="false">
      <c r="A12" s="11" t="s">
        <v>288</v>
      </c>
      <c r="B12" s="31" t="n">
        <v>5</v>
      </c>
      <c r="C12" s="31" t="n">
        <v>8</v>
      </c>
      <c r="D12" s="28" t="n">
        <f aca="false">(B12+C12)/2</f>
        <v>6.5</v>
      </c>
    </row>
    <row r="13" customFormat="false" ht="15" hidden="false" customHeight="false" outlineLevel="0" collapsed="false">
      <c r="A13" s="11" t="s">
        <v>289</v>
      </c>
      <c r="B13" s="31" t="n">
        <v>8</v>
      </c>
      <c r="C13" s="31" t="n">
        <v>15</v>
      </c>
      <c r="D13" s="28" t="n">
        <f aca="false">(B13+C13)/2</f>
        <v>11.5</v>
      </c>
    </row>
    <row r="14" customFormat="false" ht="15" hidden="false" customHeight="false" outlineLevel="0" collapsed="false">
      <c r="A14" s="11" t="s">
        <v>290</v>
      </c>
      <c r="B14" s="31" t="n">
        <v>3</v>
      </c>
      <c r="C14" s="31" t="n">
        <v>7</v>
      </c>
      <c r="D14" s="28" t="n">
        <f aca="false">(B14+C14)/2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93"/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8" t="s">
        <v>291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292</v>
      </c>
      <c r="B2" s="10" t="s">
        <v>293</v>
      </c>
      <c r="C2" s="10" t="s">
        <v>294</v>
      </c>
      <c r="D2" s="10" t="s">
        <v>295</v>
      </c>
      <c r="E2" s="10"/>
    </row>
    <row r="3" customFormat="false" ht="15" hidden="false" customHeight="false" outlineLevel="0" collapsed="false">
      <c r="A3" s="11" t="s">
        <v>270</v>
      </c>
      <c r="B3" s="18" t="n">
        <v>39.8</v>
      </c>
      <c r="C3" s="18" t="n">
        <v>79.5</v>
      </c>
      <c r="D3" s="18" t="n">
        <v>119.3</v>
      </c>
    </row>
    <row r="4" customFormat="false" ht="15" hidden="false" customHeight="false" outlineLevel="0" collapsed="false">
      <c r="A4" s="11" t="s">
        <v>296</v>
      </c>
      <c r="B4" s="16" t="n">
        <v>0.55</v>
      </c>
      <c r="C4" s="16" t="n">
        <v>0.7</v>
      </c>
      <c r="D4" s="16" t="n">
        <v>0.75</v>
      </c>
    </row>
    <row r="5" customFormat="false" ht="15" hidden="false" customHeight="false" outlineLevel="0" collapsed="false">
      <c r="A5" s="11" t="s">
        <v>297</v>
      </c>
      <c r="B5" s="20" t="n">
        <f aca="false">B3*B4</f>
        <v>21.89</v>
      </c>
      <c r="C5" s="20" t="n">
        <f aca="false">C3*C4</f>
        <v>55.65</v>
      </c>
      <c r="D5" s="20" t="n">
        <f aca="false">D3*D4</f>
        <v>89.475</v>
      </c>
    </row>
    <row r="6" customFormat="false" ht="15" hidden="false" customHeight="false" outlineLevel="0" collapsed="false">
      <c r="A6" s="11" t="s">
        <v>298</v>
      </c>
      <c r="B6" s="20" t="n">
        <f aca="false">B5</f>
        <v>21.89</v>
      </c>
      <c r="C6" s="20" t="n">
        <f aca="false">C5</f>
        <v>55.65</v>
      </c>
      <c r="D6" s="20" t="n">
        <f aca="false">D5</f>
        <v>89.475</v>
      </c>
    </row>
    <row r="7" customFormat="false" ht="15" hidden="false" customHeight="false" outlineLevel="0" collapsed="false">
      <c r="A7" s="11" t="s">
        <v>299</v>
      </c>
      <c r="B7" s="15" t="n">
        <v>12500</v>
      </c>
      <c r="C7" s="15" t="n">
        <v>25000</v>
      </c>
      <c r="D7" s="15" t="n">
        <v>37500</v>
      </c>
    </row>
    <row r="8" customFormat="false" ht="15" hidden="false" customHeight="false" outlineLevel="0" collapsed="false">
      <c r="A8" s="11" t="s">
        <v>300</v>
      </c>
      <c r="B8" s="15" t="n">
        <v>50</v>
      </c>
      <c r="C8" s="15" t="n">
        <v>100</v>
      </c>
      <c r="D8" s="15" t="n">
        <v>150</v>
      </c>
    </row>
    <row r="9" customFormat="false" ht="15" hidden="false" customHeight="false" outlineLevel="0" collapsed="false">
      <c r="A9" s="11" t="s">
        <v>301</v>
      </c>
      <c r="B9" s="20" t="n">
        <f aca="false">B3*12.5</f>
        <v>497.5</v>
      </c>
      <c r="C9" s="20" t="n">
        <f aca="false">C3*12.5</f>
        <v>993.75</v>
      </c>
      <c r="D9" s="20" t="n">
        <f aca="false">D3*12.5</f>
        <v>1491.25</v>
      </c>
    </row>
    <row r="12" customFormat="false" ht="15" hidden="false" customHeight="false" outlineLevel="0" collapsed="false">
      <c r="A12" s="8" t="s">
        <v>302</v>
      </c>
      <c r="B12" s="9"/>
      <c r="C12" s="9"/>
      <c r="D12" s="9"/>
      <c r="E12" s="9"/>
    </row>
    <row r="13" customFormat="false" ht="15" hidden="false" customHeight="false" outlineLevel="0" collapsed="false">
      <c r="A13" s="10" t="s">
        <v>303</v>
      </c>
      <c r="B13" s="10" t="s">
        <v>304</v>
      </c>
      <c r="C13" s="10" t="s">
        <v>305</v>
      </c>
      <c r="D13" s="10"/>
      <c r="E13" s="10"/>
    </row>
    <row r="14" customFormat="false" ht="15" hidden="false" customHeight="false" outlineLevel="0" collapsed="false">
      <c r="A14" s="11" t="s">
        <v>306</v>
      </c>
      <c r="B14" s="18" t="n">
        <v>7.5</v>
      </c>
      <c r="C14" s="20" t="n">
        <f aca="false">B14+79.5-15</f>
        <v>72</v>
      </c>
    </row>
    <row r="15" customFormat="false" ht="15" hidden="false" customHeight="false" outlineLevel="0" collapsed="false">
      <c r="A15" s="11" t="s">
        <v>307</v>
      </c>
      <c r="B15" s="18" t="n">
        <v>10</v>
      </c>
      <c r="C15" s="20" t="n">
        <f aca="false">B15+79.5-15</f>
        <v>74.5</v>
      </c>
    </row>
    <row r="16" customFormat="false" ht="15" hidden="false" customHeight="false" outlineLevel="0" collapsed="false">
      <c r="A16" s="11" t="s">
        <v>308</v>
      </c>
      <c r="B16" s="18" t="n">
        <v>12.5</v>
      </c>
      <c r="C16" s="20" t="n">
        <f aca="false">B16+79.5-15</f>
        <v>77</v>
      </c>
    </row>
    <row r="17" customFormat="false" ht="15" hidden="false" customHeight="false" outlineLevel="0" collapsed="false">
      <c r="A17" s="11" t="s">
        <v>309</v>
      </c>
      <c r="B17" s="18" t="n">
        <v>15</v>
      </c>
      <c r="C17" s="20" t="n">
        <f aca="false">B17+79.5-15</f>
        <v>79.5</v>
      </c>
    </row>
    <row r="18" customFormat="false" ht="15" hidden="false" customHeight="false" outlineLevel="0" collapsed="false">
      <c r="A18" s="11" t="s">
        <v>310</v>
      </c>
      <c r="B18" s="18" t="n">
        <v>17.5</v>
      </c>
      <c r="C18" s="20" t="n">
        <f aca="false">B18+79.5-15</f>
        <v>82</v>
      </c>
    </row>
    <row r="19" customFormat="false" ht="15" hidden="false" customHeight="false" outlineLevel="0" collapsed="false">
      <c r="A19" s="11" t="s">
        <v>311</v>
      </c>
      <c r="B19" s="18" t="n">
        <v>20</v>
      </c>
      <c r="C19" s="20" t="n">
        <f aca="false">B19+79.5-15</f>
        <v>84.5</v>
      </c>
    </row>
    <row r="20" customFormat="false" ht="15" hidden="false" customHeight="false" outlineLevel="0" collapsed="false">
      <c r="A20" s="11" t="s">
        <v>312</v>
      </c>
      <c r="B20" s="18" t="n">
        <v>25</v>
      </c>
      <c r="C20" s="20" t="n">
        <f aca="false">B20+79.5-15</f>
        <v>89.5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4B6"/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313</v>
      </c>
      <c r="B1" s="9"/>
      <c r="C1" s="9"/>
      <c r="D1" s="9"/>
      <c r="E1" s="9"/>
    </row>
    <row r="2" customFormat="false" ht="15" hidden="false" customHeight="false" outlineLevel="0" collapsed="false">
      <c r="A2" s="8" t="s">
        <v>314</v>
      </c>
      <c r="B2" s="9"/>
      <c r="C2" s="9"/>
      <c r="D2" s="9"/>
      <c r="E2" s="9"/>
    </row>
    <row r="3" customFormat="false" ht="15" hidden="false" customHeight="false" outlineLevel="0" collapsed="false">
      <c r="A3" s="10" t="s">
        <v>315</v>
      </c>
      <c r="B3" s="10" t="s">
        <v>316</v>
      </c>
      <c r="C3" s="10" t="s">
        <v>317</v>
      </c>
      <c r="D3" s="10" t="s">
        <v>318</v>
      </c>
      <c r="E3" s="10"/>
    </row>
    <row r="4" customFormat="false" ht="15" hidden="false" customHeight="false" outlineLevel="0" collapsed="false">
      <c r="A4" s="11" t="s">
        <v>319</v>
      </c>
      <c r="B4" s="15" t="n">
        <v>30</v>
      </c>
      <c r="C4" s="15" t="n">
        <v>50000</v>
      </c>
      <c r="D4" s="17" t="n">
        <f aca="false">B4*C4/1000</f>
        <v>1500</v>
      </c>
    </row>
    <row r="5" customFormat="false" ht="15" hidden="false" customHeight="false" outlineLevel="0" collapsed="false">
      <c r="A5" s="11" t="s">
        <v>320</v>
      </c>
      <c r="B5" s="15" t="n">
        <v>20</v>
      </c>
      <c r="C5" s="15" t="n">
        <v>30000</v>
      </c>
      <c r="D5" s="17" t="n">
        <f aca="false">B5*C5/1000</f>
        <v>600</v>
      </c>
    </row>
    <row r="6" customFormat="false" ht="15" hidden="false" customHeight="false" outlineLevel="0" collapsed="false">
      <c r="A6" s="11" t="s">
        <v>321</v>
      </c>
      <c r="B6" s="15" t="n">
        <v>1</v>
      </c>
      <c r="C6" s="15" t="n">
        <v>20000</v>
      </c>
      <c r="D6" s="17" t="n">
        <f aca="false">B6*C6/1000</f>
        <v>20</v>
      </c>
    </row>
    <row r="7" customFormat="false" ht="15" hidden="false" customHeight="false" outlineLevel="0" collapsed="false">
      <c r="A7" s="11" t="s">
        <v>322</v>
      </c>
      <c r="B7" s="15" t="n">
        <v>1</v>
      </c>
      <c r="C7" s="15" t="n">
        <v>40000</v>
      </c>
      <c r="D7" s="17" t="n">
        <f aca="false">B7*C7/1000</f>
        <v>40</v>
      </c>
    </row>
    <row r="8" customFormat="false" ht="23.85" hidden="false" customHeight="false" outlineLevel="0" collapsed="false">
      <c r="A8" s="21" t="s">
        <v>323</v>
      </c>
      <c r="B8" s="32"/>
      <c r="C8" s="32"/>
      <c r="D8" s="33" t="n">
        <f aca="false">SUM(D4:D7)</f>
        <v>2160</v>
      </c>
      <c r="E8" s="32"/>
    </row>
    <row r="10" customFormat="false" ht="15" hidden="false" customHeight="false" outlineLevel="0" collapsed="false">
      <c r="A10" s="8" t="s">
        <v>324</v>
      </c>
      <c r="B10" s="9"/>
      <c r="C10" s="9"/>
      <c r="D10" s="9"/>
      <c r="E10" s="9"/>
    </row>
    <row r="11" customFormat="false" ht="15" hidden="false" customHeight="false" outlineLevel="0" collapsed="false">
      <c r="A11" s="10" t="s">
        <v>315</v>
      </c>
      <c r="B11" s="10" t="s">
        <v>325</v>
      </c>
      <c r="C11" s="10" t="s">
        <v>326</v>
      </c>
      <c r="D11" s="10" t="s">
        <v>327</v>
      </c>
      <c r="E11" s="10" t="s">
        <v>328</v>
      </c>
    </row>
    <row r="12" customFormat="false" ht="15" hidden="false" customHeight="false" outlineLevel="0" collapsed="false">
      <c r="A12" s="11" t="s">
        <v>329</v>
      </c>
      <c r="B12" s="18" t="n">
        <v>25</v>
      </c>
      <c r="C12" s="18" t="n">
        <v>3.5</v>
      </c>
      <c r="D12" s="20" t="n">
        <f aca="false">B12+C12</f>
        <v>28.5</v>
      </c>
      <c r="E12" s="24" t="n">
        <f aca="false">IF(D12&gt;0,C12/D12,0)</f>
        <v>0.12280701754386</v>
      </c>
    </row>
    <row r="13" customFormat="false" ht="15" hidden="false" customHeight="false" outlineLevel="0" collapsed="false">
      <c r="A13" s="11" t="s">
        <v>330</v>
      </c>
      <c r="B13" s="18" t="n">
        <v>12</v>
      </c>
      <c r="C13" s="18" t="n">
        <v>1</v>
      </c>
      <c r="D13" s="20" t="n">
        <f aca="false">B13+C13</f>
        <v>13</v>
      </c>
      <c r="E13" s="24" t="n">
        <f aca="false">IF(D13&gt;0,C13/D13,0)</f>
        <v>0.0769230769230769</v>
      </c>
    </row>
    <row r="14" customFormat="false" ht="15" hidden="false" customHeight="false" outlineLevel="0" collapsed="false">
      <c r="A14" s="11" t="s">
        <v>331</v>
      </c>
      <c r="B14" s="18" t="n">
        <v>18</v>
      </c>
      <c r="C14" s="18" t="n">
        <v>2.5</v>
      </c>
      <c r="D14" s="20" t="n">
        <f aca="false">B14+C14</f>
        <v>20.5</v>
      </c>
      <c r="E14" s="24" t="n">
        <f aca="false">IF(D14&gt;0,C14/D14,0)</f>
        <v>0.121951219512195</v>
      </c>
    </row>
    <row r="15" customFormat="false" ht="15" hidden="false" customHeight="false" outlineLevel="0" collapsed="false">
      <c r="A15" s="11" t="s">
        <v>332</v>
      </c>
      <c r="B15" s="18" t="n">
        <v>11.5</v>
      </c>
      <c r="C15" s="18" t="n">
        <v>1.2</v>
      </c>
      <c r="D15" s="20" t="n">
        <f aca="false">B15+C15</f>
        <v>12.7</v>
      </c>
      <c r="E15" s="24" t="n">
        <f aca="false">IF(D15&gt;0,C15/D15,0)</f>
        <v>0.094488188976378</v>
      </c>
    </row>
    <row r="16" customFormat="false" ht="15" hidden="false" customHeight="false" outlineLevel="0" collapsed="false">
      <c r="A16" s="11" t="s">
        <v>333</v>
      </c>
      <c r="B16" s="18" t="n">
        <v>4</v>
      </c>
      <c r="C16" s="18" t="n">
        <v>0.8</v>
      </c>
      <c r="D16" s="20" t="n">
        <f aca="false">B16+C16</f>
        <v>4.8</v>
      </c>
      <c r="E16" s="24" t="n">
        <f aca="false">IF(D16&gt;0,C16/D16,0)</f>
        <v>0.166666666666667</v>
      </c>
    </row>
    <row r="17" customFormat="false" ht="15" hidden="false" customHeight="false" outlineLevel="0" collapsed="false">
      <c r="A17" s="21" t="s">
        <v>259</v>
      </c>
      <c r="B17" s="22" t="n">
        <f aca="false">SUM(B12:B16)</f>
        <v>70.5</v>
      </c>
      <c r="C17" s="22" t="n">
        <f aca="false">SUM(C12:C16)</f>
        <v>9</v>
      </c>
      <c r="D17" s="22" t="n">
        <f aca="false">SUM(D12:D16)</f>
        <v>79.5</v>
      </c>
      <c r="E17" s="30" t="n">
        <f aca="false">IF(D17&gt;0,C17/D17,0)</f>
        <v>0.113207547169811</v>
      </c>
    </row>
    <row r="19" customFormat="false" ht="15" hidden="false" customHeight="false" outlineLevel="0" collapsed="false">
      <c r="A19" s="8" t="s">
        <v>334</v>
      </c>
      <c r="B19" s="9"/>
      <c r="C19" s="9"/>
      <c r="D19" s="9"/>
      <c r="E19" s="9"/>
    </row>
    <row r="20" customFormat="false" ht="23.85" hidden="false" customHeight="false" outlineLevel="0" collapsed="false">
      <c r="A20" s="10" t="s">
        <v>335</v>
      </c>
      <c r="B20" s="10" t="s">
        <v>336</v>
      </c>
      <c r="C20" s="10" t="s">
        <v>337</v>
      </c>
      <c r="D20" s="10" t="s">
        <v>338</v>
      </c>
      <c r="E20" s="10"/>
    </row>
    <row r="21" customFormat="false" ht="15" hidden="false" customHeight="false" outlineLevel="0" collapsed="false">
      <c r="A21" s="11" t="s">
        <v>339</v>
      </c>
      <c r="B21" s="15" t="n">
        <v>400</v>
      </c>
      <c r="C21" s="15" t="n">
        <v>600</v>
      </c>
      <c r="D21" s="15" t="n">
        <v>500</v>
      </c>
    </row>
    <row r="22" customFormat="false" ht="15" hidden="false" customHeight="false" outlineLevel="0" collapsed="false">
      <c r="A22" s="11" t="s">
        <v>340</v>
      </c>
      <c r="B22" s="15" t="n">
        <v>250</v>
      </c>
      <c r="C22" s="15" t="n">
        <v>400</v>
      </c>
      <c r="D22" s="15" t="n">
        <v>350</v>
      </c>
    </row>
    <row r="23" customFormat="false" ht="15" hidden="false" customHeight="false" outlineLevel="0" collapsed="false">
      <c r="A23" s="11" t="s">
        <v>341</v>
      </c>
      <c r="B23" s="15" t="n">
        <v>300</v>
      </c>
      <c r="C23" s="15" t="n">
        <v>700</v>
      </c>
      <c r="D23" s="15" t="n">
        <v>400</v>
      </c>
    </row>
    <row r="24" customFormat="false" ht="15" hidden="false" customHeight="false" outlineLevel="0" collapsed="false">
      <c r="A24" s="11" t="s">
        <v>342</v>
      </c>
      <c r="B24" s="15" t="n">
        <v>200</v>
      </c>
      <c r="C24" s="15" t="n">
        <v>1000</v>
      </c>
      <c r="D24" s="15" t="n">
        <v>1000</v>
      </c>
    </row>
    <row r="25" customFormat="false" ht="15" hidden="false" customHeight="false" outlineLevel="0" collapsed="false">
      <c r="A25" s="21" t="s">
        <v>343</v>
      </c>
      <c r="B25" s="32"/>
      <c r="C25" s="32"/>
      <c r="D25" s="33" t="n">
        <f aca="false">SUM(D21:D24)</f>
        <v>2250</v>
      </c>
      <c r="E25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137"/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12" min="2" style="0" width="14"/>
  </cols>
  <sheetData>
    <row r="1" customFormat="false" ht="15" hidden="false" customHeight="false" outlineLevel="0" collapsed="false">
      <c r="A1" s="8" t="s">
        <v>344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customFormat="false" ht="15" hidden="false" customHeight="false" outlineLevel="0" collapsed="false">
      <c r="A2" s="10"/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48</v>
      </c>
      <c r="I2" s="10" t="s">
        <v>49</v>
      </c>
      <c r="J2" s="10" t="s">
        <v>50</v>
      </c>
      <c r="K2" s="10" t="s">
        <v>51</v>
      </c>
      <c r="L2" s="10" t="s">
        <v>52</v>
      </c>
    </row>
    <row r="3" customFormat="false" ht="15" hidden="false" customHeight="false" outlineLevel="0" collapsed="false">
      <c r="A3" s="11" t="s">
        <v>270</v>
      </c>
      <c r="B3" s="26" t="n">
        <f aca="false">'2. Revenue'!B44</f>
        <v>0</v>
      </c>
      <c r="C3" s="26" t="n">
        <f aca="false">'2. Revenue'!C44</f>
        <v>5.845</v>
      </c>
      <c r="D3" s="26" t="n">
        <f aca="false">'2. Revenue'!D44</f>
        <v>10.581</v>
      </c>
      <c r="E3" s="26" t="n">
        <f aca="false">'2. Revenue'!E44</f>
        <v>24.2376</v>
      </c>
      <c r="F3" s="26" t="n">
        <f aca="false">'2. Revenue'!F44</f>
        <v>47.697</v>
      </c>
      <c r="G3" s="26" t="n">
        <f aca="false">'2. Revenue'!G44</f>
        <v>73.6448</v>
      </c>
      <c r="H3" s="26" t="n">
        <f aca="false">'2. Revenue'!H44</f>
        <v>88.867</v>
      </c>
      <c r="I3" s="26" t="n">
        <f aca="false">'2. Revenue'!I44</f>
        <v>109.7118</v>
      </c>
      <c r="J3" s="26" t="n">
        <f aca="false">'2. Revenue'!J44</f>
        <v>123.7526</v>
      </c>
      <c r="K3" s="26" t="n">
        <f aca="false">'2. Revenue'!K44</f>
        <v>142.1424</v>
      </c>
      <c r="L3" s="26" t="n">
        <f aca="false">'2. Revenue'!L44</f>
        <v>159.983</v>
      </c>
    </row>
    <row r="4" customFormat="false" ht="15" hidden="false" customHeight="false" outlineLevel="0" collapsed="false">
      <c r="A4" s="11" t="s">
        <v>296</v>
      </c>
      <c r="B4" s="34" t="n">
        <f aca="false">'3. P&amp;L'!B17</f>
        <v>0</v>
      </c>
      <c r="C4" s="34" t="n">
        <f aca="false">'3. P&amp;L'!C17</f>
        <v>0.362044482463644</v>
      </c>
      <c r="D4" s="34" t="n">
        <f aca="false">'3. P&amp;L'!D17</f>
        <v>0.456472923164162</v>
      </c>
      <c r="E4" s="34" t="n">
        <f aca="false">'3. P&amp;L'!E17</f>
        <v>0.462213750536357</v>
      </c>
      <c r="F4" s="34" t="n">
        <f aca="false">'3. P&amp;L'!F17</f>
        <v>0.501720653290563</v>
      </c>
      <c r="G4" s="34" t="n">
        <f aca="false">'3. P&amp;L'!G17</f>
        <v>0.566932519336056</v>
      </c>
      <c r="H4" s="34" t="n">
        <f aca="false">'3. P&amp;L'!H17</f>
        <v>0.576675818920409</v>
      </c>
      <c r="I4" s="34" t="n">
        <f aca="false">'3. P&amp;L'!I17</f>
        <v>0.610402746103883</v>
      </c>
      <c r="J4" s="34" t="n">
        <f aca="false">'3. P&amp;L'!J17</f>
        <v>0.621747050162987</v>
      </c>
      <c r="K4" s="34" t="n">
        <f aca="false">'3. P&amp;L'!K17</f>
        <v>0.628895642679454</v>
      </c>
      <c r="L4" s="34" t="n">
        <f aca="false">'3. P&amp;L'!L17</f>
        <v>0.635722983066951</v>
      </c>
    </row>
    <row r="5" customFormat="false" ht="15" hidden="false" customHeight="false" outlineLevel="0" collapsed="false">
      <c r="A5" s="11" t="s">
        <v>345</v>
      </c>
      <c r="B5" s="26" t="n">
        <f aca="false">'3. P&amp;L'!B24</f>
        <v>0</v>
      </c>
      <c r="C5" s="26" t="n">
        <f aca="false">'3. P&amp;L'!C24</f>
        <v>2.067052</v>
      </c>
      <c r="D5" s="26" t="n">
        <f aca="false">'3. P&amp;L'!D24</f>
        <v>4.755873</v>
      </c>
      <c r="E5" s="26" t="n">
        <f aca="false">'3. P&amp;L'!E24</f>
        <v>11.05025512</v>
      </c>
      <c r="F5" s="26" t="n">
        <f aca="false">'3. P&amp;L'!F24</f>
        <v>23.6634668</v>
      </c>
      <c r="G5" s="26" t="n">
        <f aca="false">'3. P&amp;L'!G24</f>
        <v>41.39077248</v>
      </c>
      <c r="H5" s="26" t="n">
        <f aca="false">'3. P&amp;L'!H24</f>
        <v>48.33049817</v>
      </c>
      <c r="I5" s="26" t="n">
        <f aca="false">'3. P&amp;L'!I24</f>
        <v>59.856834996</v>
      </c>
      <c r="J5" s="26" t="n">
        <f aca="false">'3. P&amp;L'!J24</f>
        <v>65.033227915</v>
      </c>
      <c r="K5" s="26" t="n">
        <f aca="false">'3. P&amp;L'!K24</f>
        <v>71.11619008</v>
      </c>
      <c r="L5" s="26" t="n">
        <f aca="false">'3. P&amp;L'!L24</f>
        <v>80.9159436</v>
      </c>
    </row>
    <row r="6" customFormat="false" ht="15" hidden="false" customHeight="false" outlineLevel="0" collapsed="false">
      <c r="A6" s="11" t="s">
        <v>346</v>
      </c>
      <c r="B6" s="26" t="n">
        <f aca="false">'5. Cash Flow'!B18</f>
        <v>0</v>
      </c>
      <c r="C6" s="26" t="n">
        <f aca="false">'5. Cash Flow'!C18</f>
        <v>5.11615</v>
      </c>
      <c r="D6" s="26" t="n">
        <f aca="false">'5. Cash Flow'!D18</f>
        <v>21.20929</v>
      </c>
      <c r="E6" s="26" t="n">
        <f aca="false">'5. Cash Flow'!E18</f>
        <v>28.729412</v>
      </c>
      <c r="F6" s="26" t="n">
        <f aca="false">'5. Cash Flow'!F18</f>
        <v>87.487012</v>
      </c>
      <c r="G6" s="26" t="n">
        <f aca="false">'5. Cash Flow'!G18</f>
        <v>122.941254</v>
      </c>
      <c r="H6" s="26" t="n">
        <f aca="false">'5. Cash Flow'!H18</f>
        <v>164.88388357</v>
      </c>
      <c r="I6" s="26" t="n">
        <f aca="false">'5. Cash Flow'!I18</f>
        <v>217.159268126</v>
      </c>
      <c r="J6" s="26" t="n">
        <f aca="false">'5. Cash Flow'!J18</f>
        <v>273.923590141</v>
      </c>
      <c r="K6" s="26" t="n">
        <f aca="false">'5. Cash Flow'!K18</f>
        <v>335.617788621</v>
      </c>
      <c r="L6" s="26" t="n">
        <f aca="false">'5. Cash Flow'!L18</f>
        <v>406.201642721</v>
      </c>
    </row>
    <row r="7" customFormat="false" ht="15" hidden="false" customHeight="false" outlineLevel="0" collapsed="false">
      <c r="A7" s="11" t="s">
        <v>112</v>
      </c>
      <c r="B7" s="35" t="n">
        <f aca="false">'1. Assumptions'!B67</f>
        <v>0</v>
      </c>
      <c r="C7" s="35" t="n">
        <f aca="false">'1. Assumptions'!C67</f>
        <v>15</v>
      </c>
      <c r="D7" s="35" t="n">
        <f aca="false">'1. Assumptions'!D67</f>
        <v>25</v>
      </c>
      <c r="E7" s="35" t="n">
        <f aca="false">'1. Assumptions'!E67</f>
        <v>45</v>
      </c>
      <c r="F7" s="35" t="n">
        <f aca="false">'1. Assumptions'!F67</f>
        <v>60</v>
      </c>
      <c r="G7" s="35" t="n">
        <f aca="false">'1. Assumptions'!G67</f>
        <v>80</v>
      </c>
      <c r="H7" s="35" t="n">
        <f aca="false">'1. Assumptions'!H67</f>
        <v>95</v>
      </c>
      <c r="I7" s="35" t="n">
        <f aca="false">'1. Assumptions'!I67</f>
        <v>120</v>
      </c>
      <c r="J7" s="35" t="n">
        <f aca="false">'1. Assumptions'!J67</f>
        <v>140</v>
      </c>
      <c r="K7" s="35" t="n">
        <f aca="false">'1. Assumptions'!K67</f>
        <v>160</v>
      </c>
      <c r="L7" s="35" t="n">
        <f aca="false">'1. Assumptions'!L67</f>
        <v>180</v>
      </c>
    </row>
    <row r="8" customFormat="false" ht="15" hidden="false" customHeight="false" outlineLevel="0" collapsed="false">
      <c r="A8" s="11" t="s">
        <v>347</v>
      </c>
      <c r="B8" s="17" t="n">
        <f aca="false">IF(B7&gt;0,B3*1000/B7,0)</f>
        <v>0</v>
      </c>
      <c r="C8" s="17" t="n">
        <f aca="false">IF(C7&gt;0,C3*1000/C7,0)</f>
        <v>389.666666666667</v>
      </c>
      <c r="D8" s="17" t="n">
        <f aca="false">IF(D7&gt;0,D3*1000/D7,0)</f>
        <v>423.24</v>
      </c>
      <c r="E8" s="17" t="n">
        <f aca="false">IF(E7&gt;0,E3*1000/E7,0)</f>
        <v>538.613333333333</v>
      </c>
      <c r="F8" s="17" t="n">
        <f aca="false">IF(F7&gt;0,F3*1000/F7,0)</f>
        <v>794.95</v>
      </c>
      <c r="G8" s="17" t="n">
        <f aca="false">IF(G7&gt;0,G3*1000/G7,0)</f>
        <v>920.56</v>
      </c>
      <c r="H8" s="17" t="n">
        <f aca="false">IF(H7&gt;0,H3*1000/H7,0)</f>
        <v>935.442105263158</v>
      </c>
      <c r="I8" s="17" t="n">
        <f aca="false">IF(I7&gt;0,I3*1000/I7,0)</f>
        <v>914.265</v>
      </c>
      <c r="J8" s="17" t="n">
        <f aca="false">IF(J7&gt;0,J3*1000/J7,0)</f>
        <v>883.947142857143</v>
      </c>
      <c r="K8" s="17" t="n">
        <f aca="false">IF(K7&gt;0,K3*1000/K7,0)</f>
        <v>888.39</v>
      </c>
      <c r="L8" s="17" t="n">
        <f aca="false">IF(L7&gt;0,L3*1000/L7,0)</f>
        <v>888.794444444445</v>
      </c>
    </row>
    <row r="9" customFormat="false" ht="15" hidden="false" customHeight="false" outlineLevel="0" collapsed="false">
      <c r="A9" s="11" t="s">
        <v>348</v>
      </c>
      <c r="B9" s="35" t="n">
        <f aca="false">'1. Assumptions'!B13</f>
        <v>0</v>
      </c>
      <c r="C9" s="35" t="n">
        <f aca="false">'1. Assumptions'!C13</f>
        <v>2000</v>
      </c>
      <c r="D9" s="35" t="n">
        <f aca="false">'1. Assumptions'!D13</f>
        <v>5000</v>
      </c>
      <c r="E9" s="35" t="n">
        <f aca="false">'1. Assumptions'!E13</f>
        <v>15000</v>
      </c>
      <c r="F9" s="35" t="n">
        <f aca="false">'1. Assumptions'!F13</f>
        <v>35000</v>
      </c>
      <c r="G9" s="35" t="n">
        <f aca="false">'1. Assumptions'!G13</f>
        <v>80000</v>
      </c>
      <c r="H9" s="35" t="n">
        <f aca="false">'1. Assumptions'!H13</f>
        <v>100000</v>
      </c>
      <c r="I9" s="35" t="n">
        <f aca="false">'1. Assumptions'!I13</f>
        <v>120000</v>
      </c>
      <c r="J9" s="35" t="n">
        <f aca="false">'1. Assumptions'!J13</f>
        <v>140000</v>
      </c>
      <c r="K9" s="35" t="n">
        <f aca="false">'1. Assumptions'!K13</f>
        <v>160000</v>
      </c>
      <c r="L9" s="35" t="n">
        <f aca="false">'1. Assumptions'!L13</f>
        <v>200000</v>
      </c>
    </row>
    <row r="10" customFormat="false" ht="15" hidden="false" customHeight="false" outlineLevel="0" collapsed="false">
      <c r="A10" s="11" t="s">
        <v>349</v>
      </c>
      <c r="B10" s="26" t="n">
        <f aca="false">'2. Revenue'!B7</f>
        <v>0</v>
      </c>
      <c r="C10" s="26" t="n">
        <f aca="false">'2. Revenue'!C7</f>
        <v>0.45</v>
      </c>
      <c r="D10" s="26" t="n">
        <f aca="false">'2. Revenue'!D7</f>
        <v>2.109</v>
      </c>
      <c r="E10" s="26" t="n">
        <f aca="false">'2. Revenue'!E7</f>
        <v>8.4726</v>
      </c>
      <c r="F10" s="26" t="n">
        <f aca="false">'2. Revenue'!F7</f>
        <v>13.545</v>
      </c>
      <c r="G10" s="26" t="n">
        <f aca="false">'2. Revenue'!G7</f>
        <v>27.1248</v>
      </c>
      <c r="H10" s="26" t="n">
        <f aca="false">'2. Revenue'!H7</f>
        <v>30.96</v>
      </c>
      <c r="I10" s="26" t="n">
        <f aca="false">'2. Revenue'!I7</f>
        <v>39.0168</v>
      </c>
      <c r="J10" s="26" t="n">
        <f aca="false">'2. Revenue'!J7</f>
        <v>43.2696</v>
      </c>
      <c r="K10" s="26" t="n">
        <f aca="false">'2. Revenue'!K7</f>
        <v>49.7724</v>
      </c>
      <c r="L10" s="26" t="n">
        <f aca="false">'2. Revenue'!L7</f>
        <v>57.528</v>
      </c>
    </row>
    <row r="11" customFormat="false" ht="15" hidden="false" customHeight="false" outlineLevel="0" collapsed="false">
      <c r="A11" s="11" t="s">
        <v>350</v>
      </c>
      <c r="B11" s="26" t="n">
        <f aca="false">'2. Revenue'!B15</f>
        <v>0</v>
      </c>
      <c r="C11" s="26" t="n">
        <f aca="false">'2. Revenue'!C15</f>
        <v>5.395</v>
      </c>
      <c r="D11" s="26" t="n">
        <f aca="false">'2. Revenue'!D15</f>
        <v>7.602</v>
      </c>
      <c r="E11" s="26" t="n">
        <f aca="false">'2. Revenue'!E15</f>
        <v>9.405</v>
      </c>
      <c r="F11" s="26" t="n">
        <f aca="false">'2. Revenue'!F15</f>
        <v>10.122</v>
      </c>
      <c r="G11" s="26" t="n">
        <f aca="false">'2. Revenue'!G15</f>
        <v>10.72</v>
      </c>
      <c r="H11" s="26" t="n">
        <f aca="false">'2. Revenue'!H15</f>
        <v>12.287</v>
      </c>
      <c r="I11" s="26" t="n">
        <f aca="false">'2. Revenue'!I15</f>
        <v>13.755</v>
      </c>
      <c r="J11" s="26" t="n">
        <f aca="false">'2. Revenue'!J15</f>
        <v>15.223</v>
      </c>
      <c r="K11" s="26" t="n">
        <f aca="false">'2. Revenue'!K15</f>
        <v>16.79</v>
      </c>
      <c r="L11" s="26" t="n">
        <f aca="false">'2. Revenue'!L15</f>
        <v>18.555</v>
      </c>
    </row>
    <row r="12" customFormat="false" ht="15" hidden="false" customHeight="false" outlineLevel="0" collapsed="false">
      <c r="A12" s="11" t="s">
        <v>351</v>
      </c>
      <c r="B12" s="26" t="n">
        <f aca="false">'2. Revenue'!B22</f>
        <v>0</v>
      </c>
      <c r="C12" s="26" t="n">
        <f aca="false">'2. Revenue'!C22</f>
        <v>0</v>
      </c>
      <c r="D12" s="26" t="n">
        <f aca="false">'2. Revenue'!D22</f>
        <v>0</v>
      </c>
      <c r="E12" s="26" t="n">
        <f aca="false">'2. Revenue'!E22</f>
        <v>4.3</v>
      </c>
      <c r="F12" s="26" t="n">
        <f aca="false">'2. Revenue'!F22</f>
        <v>9.45</v>
      </c>
      <c r="G12" s="26" t="n">
        <f aca="false">'2. Revenue'!G22</f>
        <v>12.4</v>
      </c>
      <c r="H12" s="26" t="n">
        <f aca="false">'2. Revenue'!H22</f>
        <v>17.1</v>
      </c>
      <c r="I12" s="26" t="n">
        <f aca="false">'2. Revenue'!I22</f>
        <v>21.3</v>
      </c>
      <c r="J12" s="26" t="n">
        <f aca="false">'2. Revenue'!J22</f>
        <v>24.5</v>
      </c>
      <c r="K12" s="26" t="n">
        <f aca="false">'2. Revenue'!K22</f>
        <v>27.7</v>
      </c>
      <c r="L12" s="26" t="n">
        <f aca="false">'2. Revenue'!L22</f>
        <v>30.9</v>
      </c>
    </row>
    <row r="13" customFormat="false" ht="15" hidden="false" customHeight="false" outlineLevel="0" collapsed="false">
      <c r="A13" s="11" t="s">
        <v>352</v>
      </c>
      <c r="B13" s="26" t="n">
        <f aca="false">'2. Revenue'!B29</f>
        <v>0</v>
      </c>
      <c r="C13" s="26" t="n">
        <f aca="false">'2. Revenue'!C29</f>
        <v>0</v>
      </c>
      <c r="D13" s="26" t="n">
        <f aca="false">'2. Revenue'!D29</f>
        <v>0.87</v>
      </c>
      <c r="E13" s="26" t="n">
        <f aca="false">'2. Revenue'!E29</f>
        <v>2.06</v>
      </c>
      <c r="F13" s="26" t="n">
        <f aca="false">'2. Revenue'!F29</f>
        <v>2.63</v>
      </c>
      <c r="G13" s="26" t="n">
        <f aca="false">'2. Revenue'!G29</f>
        <v>3</v>
      </c>
      <c r="H13" s="26" t="n">
        <f aca="false">'2. Revenue'!H29</f>
        <v>3.57</v>
      </c>
      <c r="I13" s="26" t="n">
        <f aca="false">'2. Revenue'!I29</f>
        <v>4.14</v>
      </c>
      <c r="J13" s="26" t="n">
        <f aca="false">'2. Revenue'!J29</f>
        <v>4.71</v>
      </c>
      <c r="K13" s="26" t="n">
        <f aca="false">'2. Revenue'!K29</f>
        <v>5.28</v>
      </c>
      <c r="L13" s="26" t="n">
        <f aca="false">'2. Revenue'!L29</f>
        <v>5.85</v>
      </c>
    </row>
    <row r="14" customFormat="false" ht="15" hidden="false" customHeight="false" outlineLevel="0" collapsed="false">
      <c r="A14" s="11" t="s">
        <v>353</v>
      </c>
      <c r="B14" s="26" t="n">
        <f aca="false">'2. Revenue'!B35</f>
        <v>0</v>
      </c>
      <c r="C14" s="26" t="n">
        <f aca="false">'2. Revenue'!C35</f>
        <v>0</v>
      </c>
      <c r="D14" s="26" t="n">
        <f aca="false">'2. Revenue'!D35</f>
        <v>0</v>
      </c>
      <c r="E14" s="26" t="n">
        <f aca="false">'2. Revenue'!E35</f>
        <v>0</v>
      </c>
      <c r="F14" s="26" t="n">
        <f aca="false">'2. Revenue'!F35</f>
        <v>6.9</v>
      </c>
      <c r="G14" s="26" t="n">
        <f aca="false">'2. Revenue'!G35</f>
        <v>11.4</v>
      </c>
      <c r="H14" s="26" t="n">
        <f aca="false">'2. Revenue'!H35</f>
        <v>14</v>
      </c>
      <c r="I14" s="26" t="n">
        <f aca="false">'2. Revenue'!I35</f>
        <v>16.6</v>
      </c>
      <c r="J14" s="26" t="n">
        <f aca="false">'2. Revenue'!J35</f>
        <v>19.2</v>
      </c>
      <c r="K14" s="26" t="n">
        <f aca="false">'2. Revenue'!K35</f>
        <v>21.8</v>
      </c>
      <c r="L14" s="26" t="n">
        <f aca="false">'2. Revenue'!L35</f>
        <v>24.4</v>
      </c>
    </row>
    <row r="15" customFormat="false" ht="15" hidden="false" customHeight="false" outlineLevel="0" collapsed="false">
      <c r="A15" s="11" t="s">
        <v>354</v>
      </c>
      <c r="B15" s="26" t="n">
        <f aca="false">'2. Revenue'!B41</f>
        <v>0</v>
      </c>
      <c r="C15" s="26" t="n">
        <f aca="false">'2. Revenue'!C41</f>
        <v>0</v>
      </c>
      <c r="D15" s="26" t="n">
        <f aca="false">'2. Revenue'!D41</f>
        <v>0</v>
      </c>
      <c r="E15" s="26" t="n">
        <f aca="false">'2. Revenue'!E41</f>
        <v>0</v>
      </c>
      <c r="F15" s="26" t="n">
        <f aca="false">'2. Revenue'!F41</f>
        <v>5.05</v>
      </c>
      <c r="G15" s="26" t="n">
        <f aca="false">'2. Revenue'!G41</f>
        <v>9</v>
      </c>
      <c r="H15" s="26" t="n">
        <f aca="false">'2. Revenue'!H41</f>
        <v>10.95</v>
      </c>
      <c r="I15" s="26" t="n">
        <f aca="false">'2. Revenue'!I41</f>
        <v>14.9</v>
      </c>
      <c r="J15" s="26" t="n">
        <f aca="false">'2. Revenue'!J41</f>
        <v>16.85</v>
      </c>
      <c r="K15" s="26" t="n">
        <f aca="false">'2. Revenue'!K41</f>
        <v>20.8</v>
      </c>
      <c r="L15" s="26" t="n">
        <f aca="false">'2. Revenue'!L41</f>
        <v>22.75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6B93"/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8" t="s">
        <v>355</v>
      </c>
      <c r="B1" s="9"/>
      <c r="C1" s="9"/>
      <c r="D1" s="9"/>
    </row>
    <row r="2" customFormat="false" ht="15" hidden="false" customHeight="false" outlineLevel="0" collapsed="false">
      <c r="A2" s="8" t="s">
        <v>356</v>
      </c>
      <c r="B2" s="9"/>
      <c r="C2" s="9"/>
      <c r="D2" s="9"/>
    </row>
    <row r="3" customFormat="false" ht="15" hidden="false" customHeight="false" outlineLevel="0" collapsed="false">
      <c r="A3" s="10" t="s">
        <v>283</v>
      </c>
      <c r="B3" s="10" t="s">
        <v>357</v>
      </c>
      <c r="C3" s="10" t="s">
        <v>262</v>
      </c>
      <c r="D3" s="10" t="s">
        <v>358</v>
      </c>
    </row>
    <row r="4" customFormat="false" ht="23.85" hidden="false" customHeight="false" outlineLevel="0" collapsed="false">
      <c r="A4" s="11" t="s">
        <v>359</v>
      </c>
      <c r="B4" s="16" t="n">
        <v>0.4</v>
      </c>
      <c r="C4" s="20" t="n">
        <f aca="false">B4*4</f>
        <v>1.6</v>
      </c>
      <c r="D4" s="11" t="s">
        <v>360</v>
      </c>
    </row>
    <row r="5" customFormat="false" ht="35.05" hidden="false" customHeight="false" outlineLevel="0" collapsed="false">
      <c r="A5" s="11" t="s">
        <v>361</v>
      </c>
      <c r="B5" s="16" t="n">
        <v>0.3</v>
      </c>
      <c r="C5" s="20" t="n">
        <f aca="false">B5*4</f>
        <v>1.2</v>
      </c>
      <c r="D5" s="11" t="s">
        <v>362</v>
      </c>
    </row>
    <row r="6" customFormat="false" ht="23.85" hidden="false" customHeight="false" outlineLevel="0" collapsed="false">
      <c r="A6" s="11" t="s">
        <v>363</v>
      </c>
      <c r="B6" s="16" t="n">
        <v>0.15</v>
      </c>
      <c r="C6" s="20" t="n">
        <f aca="false">B6*4</f>
        <v>0.6</v>
      </c>
      <c r="D6" s="11" t="s">
        <v>364</v>
      </c>
    </row>
    <row r="7" customFormat="false" ht="23.85" hidden="false" customHeight="false" outlineLevel="0" collapsed="false">
      <c r="A7" s="11" t="s">
        <v>365</v>
      </c>
      <c r="B7" s="16" t="n">
        <v>0.15</v>
      </c>
      <c r="C7" s="20" t="n">
        <f aca="false">B7*4</f>
        <v>0.6</v>
      </c>
      <c r="D7" s="11" t="s">
        <v>366</v>
      </c>
    </row>
    <row r="8" customFormat="false" ht="15" hidden="false" customHeight="false" outlineLevel="0" collapsed="false">
      <c r="A8" s="21" t="s">
        <v>259</v>
      </c>
      <c r="B8" s="30" t="n">
        <f aca="false">SUM(B4:B7)</f>
        <v>1</v>
      </c>
      <c r="C8" s="22" t="n">
        <f aca="false">SUM(C4:C7)</f>
        <v>4</v>
      </c>
      <c r="D8" s="32"/>
    </row>
    <row r="10" customFormat="false" ht="15" hidden="false" customHeight="false" outlineLevel="0" collapsed="false">
      <c r="A10" s="8" t="s">
        <v>367</v>
      </c>
      <c r="B10" s="9"/>
      <c r="C10" s="9"/>
      <c r="D10" s="9"/>
    </row>
    <row r="11" customFormat="false" ht="15" hidden="false" customHeight="false" outlineLevel="0" collapsed="false">
      <c r="A11" s="10" t="s">
        <v>283</v>
      </c>
      <c r="B11" s="10" t="s">
        <v>357</v>
      </c>
      <c r="C11" s="10" t="s">
        <v>262</v>
      </c>
      <c r="D11" s="10" t="s">
        <v>358</v>
      </c>
    </row>
    <row r="12" customFormat="false" ht="23.85" hidden="false" customHeight="false" outlineLevel="0" collapsed="false">
      <c r="A12" s="11" t="s">
        <v>368</v>
      </c>
      <c r="B12" s="16" t="n">
        <v>0.35</v>
      </c>
      <c r="C12" s="20" t="n">
        <f aca="false">B12*13</f>
        <v>4.55</v>
      </c>
      <c r="D12" s="11" t="s">
        <v>369</v>
      </c>
    </row>
    <row r="13" customFormat="false" ht="23.85" hidden="false" customHeight="false" outlineLevel="0" collapsed="false">
      <c r="A13" s="11" t="s">
        <v>370</v>
      </c>
      <c r="B13" s="16" t="n">
        <v>0.25</v>
      </c>
      <c r="C13" s="20" t="n">
        <f aca="false">B13*13</f>
        <v>3.25</v>
      </c>
      <c r="D13" s="11" t="s">
        <v>371</v>
      </c>
    </row>
    <row r="14" customFormat="false" ht="23.85" hidden="false" customHeight="false" outlineLevel="0" collapsed="false">
      <c r="A14" s="11" t="s">
        <v>372</v>
      </c>
      <c r="B14" s="16" t="n">
        <v>0.2</v>
      </c>
      <c r="C14" s="20" t="n">
        <f aca="false">B14*13</f>
        <v>2.6</v>
      </c>
      <c r="D14" s="11" t="s">
        <v>373</v>
      </c>
    </row>
    <row r="15" customFormat="false" ht="23.85" hidden="false" customHeight="false" outlineLevel="0" collapsed="false">
      <c r="A15" s="11" t="s">
        <v>374</v>
      </c>
      <c r="B15" s="16" t="n">
        <v>0.15</v>
      </c>
      <c r="C15" s="20" t="n">
        <f aca="false">B15*13</f>
        <v>1.95</v>
      </c>
      <c r="D15" s="11" t="s">
        <v>375</v>
      </c>
    </row>
    <row r="16" customFormat="false" ht="23.85" hidden="false" customHeight="false" outlineLevel="0" collapsed="false">
      <c r="A16" s="11" t="s">
        <v>376</v>
      </c>
      <c r="B16" s="16" t="n">
        <v>0.05</v>
      </c>
      <c r="C16" s="20" t="n">
        <f aca="false">B16*13</f>
        <v>0.65</v>
      </c>
      <c r="D16" s="11" t="s">
        <v>377</v>
      </c>
    </row>
    <row r="17" customFormat="false" ht="15" hidden="false" customHeight="false" outlineLevel="0" collapsed="false">
      <c r="A17" s="21" t="s">
        <v>259</v>
      </c>
      <c r="B17" s="30" t="n">
        <f aca="false">SUM(B12:B16)</f>
        <v>1</v>
      </c>
      <c r="C17" s="22" t="n">
        <f aca="false">SUM(C12:C16)</f>
        <v>13</v>
      </c>
      <c r="D17" s="32"/>
    </row>
    <row r="19" customFormat="false" ht="15" hidden="false" customHeight="false" outlineLevel="0" collapsed="false">
      <c r="A19" s="8" t="s">
        <v>378</v>
      </c>
      <c r="B19" s="9"/>
      <c r="C19" s="9"/>
      <c r="D19" s="9"/>
    </row>
    <row r="20" customFormat="false" ht="15" hidden="false" customHeight="false" outlineLevel="0" collapsed="false">
      <c r="A20" s="10" t="s">
        <v>283</v>
      </c>
      <c r="B20" s="10" t="s">
        <v>357</v>
      </c>
      <c r="C20" s="10" t="s">
        <v>262</v>
      </c>
      <c r="D20" s="10" t="s">
        <v>358</v>
      </c>
    </row>
    <row r="21" customFormat="false" ht="35.05" hidden="false" customHeight="false" outlineLevel="0" collapsed="false">
      <c r="A21" s="11" t="s">
        <v>379</v>
      </c>
      <c r="B21" s="16" t="n">
        <v>0.3</v>
      </c>
      <c r="C21" s="20" t="n">
        <f aca="false">B21*40</f>
        <v>12</v>
      </c>
      <c r="D21" s="11" t="s">
        <v>380</v>
      </c>
    </row>
    <row r="22" customFormat="false" ht="23.85" hidden="false" customHeight="false" outlineLevel="0" collapsed="false">
      <c r="A22" s="11" t="s">
        <v>381</v>
      </c>
      <c r="B22" s="16" t="n">
        <v>0.25</v>
      </c>
      <c r="C22" s="20" t="n">
        <f aca="false">B22*40</f>
        <v>10</v>
      </c>
      <c r="D22" s="11" t="s">
        <v>382</v>
      </c>
    </row>
    <row r="23" customFormat="false" ht="35.05" hidden="false" customHeight="false" outlineLevel="0" collapsed="false">
      <c r="A23" s="11" t="s">
        <v>383</v>
      </c>
      <c r="B23" s="16" t="n">
        <v>0.2</v>
      </c>
      <c r="C23" s="20" t="n">
        <f aca="false">B23*40</f>
        <v>8</v>
      </c>
      <c r="D23" s="11" t="s">
        <v>384</v>
      </c>
    </row>
    <row r="24" customFormat="false" ht="23.85" hidden="false" customHeight="false" outlineLevel="0" collapsed="false">
      <c r="A24" s="11" t="s">
        <v>385</v>
      </c>
      <c r="B24" s="16" t="n">
        <v>0.15</v>
      </c>
      <c r="C24" s="20" t="n">
        <f aca="false">B24*40</f>
        <v>6</v>
      </c>
      <c r="D24" s="11" t="s">
        <v>386</v>
      </c>
    </row>
    <row r="25" customFormat="false" ht="15" hidden="false" customHeight="false" outlineLevel="0" collapsed="false">
      <c r="A25" s="11" t="s">
        <v>387</v>
      </c>
      <c r="B25" s="16" t="n">
        <v>0.1</v>
      </c>
      <c r="C25" s="20" t="n">
        <f aca="false">B25*40</f>
        <v>4</v>
      </c>
      <c r="D25" s="11" t="s">
        <v>388</v>
      </c>
    </row>
    <row r="26" customFormat="false" ht="15" hidden="false" customHeight="false" outlineLevel="0" collapsed="false">
      <c r="A26" s="21" t="s">
        <v>259</v>
      </c>
      <c r="B26" s="30" t="n">
        <f aca="false">SUM(B21:B25)</f>
        <v>1</v>
      </c>
      <c r="C26" s="22" t="n">
        <f aca="false">SUM(C21:C25)</f>
        <v>40</v>
      </c>
      <c r="D26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2026-03-09T02:28:54Z</dcterms:created>
  <dc:creator>openpyxl</dc:creator>
  <dc:description/>
  <dc:language>en-US</dc:language>
  <cp:lastModifiedBy/>
  <dcterms:modified xsi:type="dcterms:W3CDTF">2026-03-09T02:28:58Z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