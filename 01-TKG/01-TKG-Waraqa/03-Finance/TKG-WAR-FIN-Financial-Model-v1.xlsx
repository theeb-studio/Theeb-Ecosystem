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venue Model" sheetId="2" state="visible" r:id="rId4"/>
    <sheet name="Cost Structure" sheetId="3" state="visible" r:id="rId5"/>
    <sheet name="EBITDA &amp; Cash Flow" sheetId="4" state="visible" r:id="rId6"/>
    <sheet name="Capital Requirements" sheetId="5" state="visible" r:id="rId7"/>
    <sheet name="Valuation Scenarios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<sst xmlns="http://schemas.openxmlformats.org/spreadsheetml/2006/main" count="236" uniqueCount="193">
  <si>
    <t xml:space="preserve">WARAQA - EXECUTIVE SUMMARY</t>
  </si>
  <si>
    <t xml:space="preserve">10-Year Financial Projections</t>
  </si>
  <si>
    <t xml:space="preserve">Revenue Metrics</t>
  </si>
  <si>
    <t xml:space="preserve">Y1 Revenue ($M)</t>
  </si>
  <si>
    <t xml:space="preserve">Y5 Revenue ($M)</t>
  </si>
  <si>
    <t xml:space="preserve">Y10 Revenue ($M)</t>
  </si>
  <si>
    <t xml:space="preserve">CAGR (Y1-Y10)</t>
  </si>
  <si>
    <t xml:space="preserve">Profitability Metrics</t>
  </si>
  <si>
    <t xml:space="preserve">Y1 EBITDA %</t>
  </si>
  <si>
    <t xml:space="preserve">Y5 EBITDA %</t>
  </si>
  <si>
    <t xml:space="preserve">Y10 EBITDA %</t>
  </si>
  <si>
    <t xml:space="preserve">Y1 EBITDA ($M)</t>
  </si>
  <si>
    <t xml:space="preserve">Y10 EBITDA ($M)</t>
  </si>
  <si>
    <t xml:space="preserve">Capital Requirements</t>
  </si>
  <si>
    <t xml:space="preserve">Phase 1 (Y1)</t>
  </si>
  <si>
    <t xml:space="preserve">Phase 2 (Y2)</t>
  </si>
  <si>
    <t xml:space="preserve">Total Capital</t>
  </si>
  <si>
    <t xml:space="preserve">WARAQA - 10-YEAR REVENUE MODEL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</si>
  <si>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</si>
  <si>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</si>
  <si>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</si>
  <si>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</si>
  <si>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</si>
  <si>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</si>
  <si>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</si>
  <si>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</si>
  <si>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</si>
  <si>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</si>
  <si>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</si>
  <si>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Total Revenue Input</t>
  </si>
  <si>
    <t xml:space="preserve">Journal Hosting (35%)</t>
  </si>
  <si>
    <t xml:space="preserve">APC (Article Processing) (20%)</t>
  </si>
  <si>
    <t xml:space="preserve">Evidence Synthesis (20%)</t>
  </si>
  <si>
    <t xml:space="preserve">Manuscript Services (10%)</t>
  </si>
  <si>
    <t xml:space="preserve">Data Registry (10%)</t>
  </si>
  <si>
    <t xml:space="preserve">TOTAL REVENUE</t>
  </si>
  <si>
    <t xml:space="preserve">HEADCOUNT</t>
  </si>
  <si>
    <t xml:space="preserve">Revenue per Employee</t>
  </si>
  <si>
    <t xml:space="preserve">WARAQA - COST STRUCTURE ANALYSIS</t>
  </si>
  <si>
    <t xml:space="preserve">REVENUE</t>
  </si>
  <si>
    <t xml:space="preserve">COGS (33% of Revenue)</t>
  </si>
  <si>
    <t xml:space="preserve">GROSS PROFIT</t>
  </si>
  <si>
    <t xml:space="preserve">Gross Margin %</t>
  </si>
  <si>
    <t xml:space="preserve">OPERATING EXPENSES</t>
  </si>
  <si>
    <t xml:space="preserve">Technology Development</t>
  </si>
  <si>
    <t xml:space="preserve">Content &amp; Editorial</t>
  </si>
  <si>
    <t xml:space="preserve">Sales &amp; Marketing</t>
  </si>
  <si>
    <t xml:space="preserve">General &amp; Administrative</t>
  </si>
  <si>
    <t xml:space="preserve">TOTAL OPEX</t>
  </si>
  <si>
    <t xml:space="preserve">OpEx as % of Revenue</t>
  </si>
  <si>
    <t xml:space="preserve">WARAQA - EBITDA &amp; CASH FLOW PROJECTIONS</t>
  </si>
  <si>
    <t xml:space="preserve">Revenue</t>
  </si>
  <si>
    <t xml:space="preserve">Less: COGS</t>
  </si>
  <si>
    <t xml:space="preserve">Gross Profit</t>
  </si>
  <si>
    <t xml:space="preserve">Less: OpEx</t>
  </si>
  <si>
    <t xml:space="preserve">EBITDA</t>
  </si>
  <si>
    <t xml:space="preserve">Less: D&amp;A (estimated 5%)</t>
  </si>
  <si>
    <t xml:space="preserve">EBIT (Operating Income)</t>
  </si>
  <si>
    <t xml:space="preserve">EBITDA ($M)</t>
  </si>
  <si>
    <t xml:space="preserve">EBITDA Margin %</t>
  </si>
  <si>
    <t xml:space="preserve">CASH FLOW ANALYSIS</t>
  </si>
  <si>
    <t xml:space="preserve">Operating Cash Flow</t>
  </si>
  <si>
    <t xml:space="preserve">Less: CapEx</t>
  </si>
  <si>
    <t xml:space="preserve">Free Cash Flow</t>
  </si>
  <si>
    <t xml:space="preserve">WARAQA - CAPITAL REQUIREMENTS &amp; DEPLOYMENT</t>
  </si>
  <si>
    <t xml:space="preserve">Capital Phase</t>
  </si>
  <si>
    <t xml:space="preserve">Amount ($M)</t>
  </si>
  <si>
    <t xml:space="preserve">Timing</t>
  </si>
  <si>
    <t xml:space="preserve">Use of Funds</t>
  </si>
  <si>
    <t xml:space="preserve">Phase 1: MVP Development</t>
  </si>
  <si>
    <t xml:space="preserve">Year 1</t>
  </si>
  <si>
    <t xml:space="preserve">Platform development &amp; market traction</t>
  </si>
  <si>
    <t xml:space="preserve">Phase 2: Scaling &amp; Expansion</t>
  </si>
  <si>
    <t xml:space="preserve">Year 2</t>
  </si>
  <si>
    <t xml:space="preserve">Geographic expansion &amp; feature development</t>
  </si>
  <si>
    <t xml:space="preserve">TOTAL CAPITAL REQUIRED</t>
  </si>
  <si>
    <t xml:space="preserve">Cumulative Investment by Year</t>
  </si>
  <si>
    <t xml:space="preserve">PAYBACK ANALYSIS</t>
  </si>
  <si>
    <t xml:space="preserve">Y1 FCF</t>
  </si>
  <si>
    <t xml:space="preserve">Y2 FCF</t>
  </si>
  <si>
    <t xml:space="preserve">Y3 FCF</t>
  </si>
  <si>
    <t xml:space="preserve">Cumulative FCF (Y1-Y3)</t>
  </si>
  <si>
    <t xml:space="preserve">WARAQA - VALUATION SCENARIOS</t>
  </si>
  <si>
    <t xml:space="preserve">YEAR 5 VALUATION (2031)</t>
  </si>
  <si>
    <t xml:space="preserve">Y5 EBITDA</t>
  </si>
  <si>
    <t xml:space="preserve">EBITDA Multiple</t>
  </si>
  <si>
    <t xml:space="preserve">Scenario</t>
  </si>
  <si>
    <t xml:space="preserve">Multiple</t>
  </si>
  <si>
    <t xml:space="preserve">Enterprise Value ($M)</t>
  </si>
  <si>
    <t xml:space="preserve">Conservative</t>
  </si>
  <si>
    <t xml:space="preserve">Base Case</t>
  </si>
  <si>
    <t xml:space="preserve">Optimistic</t>
  </si>
  <si>
    <t xml:space="preserve">YEAR 10 VALUATION (2036)</t>
  </si>
  <si>
    <t xml:space="preserve">Y10 EBITDA</t>
  </si>
  <si>
    <t xml:space="preserve">RETURN METRICS (Based on Y5 Exit)</t>
  </si>
  <si>
    <t xml:space="preserve">Investment Amount</t>
  </si>
  <si>
    <t xml:space="preserve">Exit Value</t>
  </si>
  <si>
    <t xml:space="preserve">MOIC</t>
  </si>
  <si>
    <t xml:space="preserve">IRR ESTIMATION (5-Year Horizon)</t>
  </si>
  <si>
    <t xml:space="preserve">~100%</t>
  </si>
  <si>
    <t xml:space="preserve">~130%</t>
  </si>
  <si>
    <t xml:space="preserve">~150%</t>
  </si>
  <si>
    <t xml:space="preserve">WARAQA - MODEL ASSUMPTIONS</t>
  </si>
  <si>
    <t xml:space="preserve">REVENUE ASSUMPTIONS</t>
  </si>
  <si>
    <t xml:space="preserve">Base Revenue (Y1)</t>
  </si>
  <si>
    <t xml:space="preserve">$1.2M</t>
  </si>
  <si>
    <t xml:space="preserve">Growth Trajectory</t>
  </si>
  <si>
    <t xml:space="preserve">See Revenue Model Sheet</t>
  </si>
  <si>
    <t xml:space="preserve">Revenue Streams</t>
  </si>
  <si>
    <t xml:space="preserve">6 diversified streams</t>
  </si>
  <si>
    <t xml:space="preserve">Journal Hosting %</t>
  </si>
  <si>
    <t xml:space="preserve">35%</t>
  </si>
  <si>
    <t xml:space="preserve">APC (Article Processing) %</t>
  </si>
  <si>
    <t xml:space="preserve">20%</t>
  </si>
  <si>
    <t xml:space="preserve">Evidence Synthesis %</t>
  </si>
  <si>
    <t xml:space="preserve">Manuscript Services %</t>
  </si>
  <si>
    <t xml:space="preserve">10%</t>
  </si>
  <si>
    <t xml:space="preserve">Data Registry %</t>
  </si>
  <si>
    <t xml:space="preserve">Platform Licensing %</t>
  </si>
  <si>
    <t xml:space="preserve">5%</t>
  </si>
  <si>
    <t xml:space="preserve">COST ASSUMPTIONS</t>
  </si>
  <si>
    <t xml:space="preserve">COGS % of Revenue</t>
  </si>
  <si>
    <t xml:space="preserve">33% (constant)</t>
  </si>
  <si>
    <t xml:space="preserve">Gross Margin</t>
  </si>
  <si>
    <t xml:space="preserve">67% (constant)</t>
  </si>
  <si>
    <t xml:space="preserve">Technology Development Y1</t>
  </si>
  <si>
    <t xml:space="preserve">25% of OpEx</t>
  </si>
  <si>
    <t xml:space="preserve">Technology Development Y10</t>
  </si>
  <si>
    <t xml:space="preserve">18% of OpEx</t>
  </si>
  <si>
    <t xml:space="preserve">Content &amp; Editorial Y1</t>
  </si>
  <si>
    <t xml:space="preserve">20% of OpEx</t>
  </si>
  <si>
    <t xml:space="preserve">Content &amp; Editorial Y10</t>
  </si>
  <si>
    <t xml:space="preserve">15% of OpEx</t>
  </si>
  <si>
    <t xml:space="preserve">Sales &amp; Marketing Y1</t>
  </si>
  <si>
    <t xml:space="preserve">Sales &amp; Marketing Y10</t>
  </si>
  <si>
    <t xml:space="preserve">10% of OpEx</t>
  </si>
  <si>
    <t xml:space="preserve">G&amp;A Y1</t>
  </si>
  <si>
    <t xml:space="preserve">G&amp;A Y10</t>
  </si>
  <si>
    <t xml:space="preserve">7% of OpEx</t>
  </si>
  <si>
    <t xml:space="preserve">D&amp;A Estimate</t>
  </si>
  <si>
    <t xml:space="preserve">5% of Revenue</t>
  </si>
  <si>
    <t xml:space="preserve">CAPITAL ASSUMPTIONS</t>
  </si>
  <si>
    <t xml:space="preserve">Phase 1 Capital (Y1)</t>
  </si>
  <si>
    <t xml:space="preserve">$1.0M</t>
  </si>
  <si>
    <t xml:space="preserve">Phase 2 Capital (Y2)</t>
  </si>
  <si>
    <t xml:space="preserve">$1.5M</t>
  </si>
  <si>
    <t xml:space="preserve">Total Capital Requirement</t>
  </si>
  <si>
    <t xml:space="preserve">$2.5M</t>
  </si>
  <si>
    <t xml:space="preserve">Phase 1 Use</t>
  </si>
  <si>
    <t xml:space="preserve">MVP &amp; platform development</t>
  </si>
  <si>
    <t xml:space="preserve">Phase 2 Use</t>
  </si>
  <si>
    <t xml:space="preserve">Geographic expansion</t>
  </si>
  <si>
    <t xml:space="preserve">HEADCOUNT ASSUMPTIONS</t>
  </si>
  <si>
    <t xml:space="preserve">Y1 Headcount</t>
  </si>
  <si>
    <t xml:space="preserve">8 employees</t>
  </si>
  <si>
    <t xml:space="preserve">Y10 Headcount</t>
  </si>
  <si>
    <t xml:space="preserve">78 employees</t>
  </si>
  <si>
    <t xml:space="preserve">Growth Pattern</t>
  </si>
  <si>
    <t xml:space="preserve">Follows revenue but with leverage</t>
  </si>
  <si>
    <t xml:space="preserve">Revenue per Employee Y1</t>
  </si>
  <si>
    <t xml:space="preserve">$150K</t>
  </si>
  <si>
    <t xml:space="preserve">Revenue per Employee Y10</t>
  </si>
  <si>
    <t xml:space="preserve">$600K+</t>
  </si>
  <si>
    <t xml:space="preserve">VALUATION ASSUMPTIONS</t>
  </si>
  <si>
    <t xml:space="preserve">Exit Timeline</t>
  </si>
  <si>
    <t xml:space="preserve">Year 5 or Year 10</t>
  </si>
  <si>
    <t xml:space="preserve">Y5 EBITDA Multiple Range</t>
  </si>
  <si>
    <t xml:space="preserve">8x - 10x</t>
  </si>
  <si>
    <t xml:space="preserve">Y10 EBITDA Multiple Range</t>
  </si>
  <si>
    <t xml:space="preserve">Base Case Multiple</t>
  </si>
  <si>
    <t xml:space="preserve">9x (conservative for healthcare SaaS)</t>
  </si>
  <si>
    <t xml:space="preserve">KEY DRIVERS</t>
  </si>
  <si>
    <t xml:space="preserve">EBITDA Margin Y1</t>
  </si>
  <si>
    <t xml:space="preserve">12%</t>
  </si>
  <si>
    <t xml:space="preserve">EBITDA Margin Y5</t>
  </si>
  <si>
    <t xml:space="preserve">43%</t>
  </si>
  <si>
    <t xml:space="preserve">EBITDA Margin Y10</t>
  </si>
  <si>
    <t xml:space="preserve">45-49% (plateau)</t>
  </si>
  <si>
    <t xml:space="preserve">Margin Expansion Driver</t>
  </si>
  <si>
    <t xml:space="preserve">Operating leverage on fixed costs</t>
  </si>
  <si>
    <t xml:space="preserve">Unit Economics</t>
  </si>
  <si>
    <t xml:space="preserve">4x productivity improvement (Y1→Y5)</t>
  </si>
  <si>
    <t xml:space="preserve">DATA SOURCES</t>
  </si>
  <si>
    <t xml:space="preserve">Financial Data</t>
  </si>
  <si>
    <t xml:space="preserve">TRG Finance (audited)</t>
  </si>
  <si>
    <t xml:space="preserve">Revenue Projections</t>
  </si>
  <si>
    <t xml:space="preserve">Company Financial Model</t>
  </si>
  <si>
    <t xml:space="preserve">Cost Structure</t>
  </si>
  <si>
    <t xml:space="preserve">Company Operations Analysis</t>
  </si>
  <si>
    <t xml:space="preserve">Headcount</t>
  </si>
  <si>
    <t xml:space="preserve">Company HR Projections</t>
  </si>
  <si>
    <t xml:space="preserve">Valuation Multiples</t>
  </si>
  <si>
    <t xml:space="preserve">Healthcare SaaS benchmarks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</si>
</sst>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"/>
    <numFmt numFmtId="166" formatCode="0.0%"/>
    <numFmt numFmtId="167" formatCode="0"/>
    <numFmt numFmtId="168" formatCode="\$#,##0"/>
    <numFmt numFmtId="169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"/>
  </cols>
  <sheetData>
    <row r="1" customFormat="false" ht="24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  <c r="B6" s="3" t="n">
        <f aca="false">'Revenue Model'!B9</f>
        <v>1.2</v>
      </c>
    </row>
    <row r="7" customFormat="false" ht="15" hidden="false" customHeight="false" outlineLevel="0" collapsed="false">
      <c r="A7" s="2" t="s">
        <v>4</v>
      </c>
      <c r="B7" s="3" t="n">
        <f aca="false">'Revenue Model'!F9</f>
        <v>24</v>
      </c>
    </row>
    <row r="8" customFormat="false" ht="15" hidden="false" customHeight="false" outlineLevel="0" collapsed="false">
      <c r="A8" s="2" t="s">
        <v>5</v>
      </c>
      <c r="B8" s="3" t="n">
        <f aca="false">'Revenue Model'!K9</f>
        <v>59.6</v>
      </c>
    </row>
    <row r="9" customFormat="false" ht="15" hidden="false" customHeight="false" outlineLevel="0" collapsed="false">
      <c r="A9" s="2" t="s">
        <v>6</v>
      </c>
      <c r="B9" s="4" t="n">
        <f aca="false">('Revenue Model'!K9/'Revenue Model'!B9)^(1/9)-1</f>
        <v>0.543304662308713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  <c r="B12" s="4" t="n">
        <f aca="false">'EBITDA &amp; Cash Flow'!B12</f>
        <v>-0.03</v>
      </c>
    </row>
    <row r="13" customFormat="false" ht="15" hidden="false" customHeight="false" outlineLevel="0" collapsed="false">
      <c r="A13" s="2" t="s">
        <v>9</v>
      </c>
      <c r="B13" s="4" t="n">
        <f aca="false">'EBITDA &amp; Cash Flow'!F12</f>
        <v>0.13</v>
      </c>
    </row>
    <row r="14" customFormat="false" ht="15" hidden="false" customHeight="false" outlineLevel="0" collapsed="false">
      <c r="A14" s="2" t="s">
        <v>10</v>
      </c>
      <c r="B14" s="4" t="n">
        <f aca="false">'EBITDA &amp; Cash Flow'!K12</f>
        <v>0.2</v>
      </c>
    </row>
    <row r="15" customFormat="false" ht="15" hidden="false" customHeight="false" outlineLevel="0" collapsed="false">
      <c r="A15" s="2" t="s">
        <v>11</v>
      </c>
      <c r="B15" s="3" t="n">
        <f aca="false">'EBITDA &amp; Cash Flow'!B11</f>
        <v>-0.036</v>
      </c>
    </row>
    <row r="16" customFormat="false" ht="15" hidden="false" customHeight="false" outlineLevel="0" collapsed="false">
      <c r="A16" s="2" t="s">
        <v>12</v>
      </c>
      <c r="B16" s="3" t="n">
        <f aca="false">'EBITDA &amp; Cash Flow'!K11</f>
        <v>11.92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  <c r="B19" s="3" t="n">
        <f aca="false">'Capital Requirements'!B5</f>
        <v>2.5</v>
      </c>
    </row>
    <row r="20" customFormat="false" ht="15" hidden="false" customHeight="false" outlineLevel="0" collapsed="false">
      <c r="A20" s="2" t="s">
        <v>15</v>
      </c>
      <c r="B20" s="3" t="n">
        <f aca="false">'Capital Requirements'!C5</f>
        <v>0</v>
      </c>
    </row>
    <row r="21" customFormat="false" ht="15" hidden="false" customHeight="false" outlineLevel="0" collapsed="false">
      <c r="A21" s="2" t="s">
        <v>16</v>
      </c>
      <c r="B21" s="3" t="n">
        <f aca="false">'Capital Requirements'!D5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11" min="2" style="0" width="15"/>
  </cols>
  <sheetData>
    <row r="1" customFormat="false" ht="17.3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</row>
    <row r="3" customFormat="false" ht="15" hidden="false" customHeight="false" outlineLevel="0" collapsed="false">
      <c r="A3" s="2" t="s">
        <v>29</v>
      </c>
      <c r="B3" s="6" t="n">
        <v>1.2</v>
      </c>
      <c r="C3" s="6" t="n">
        <v>3.5</v>
      </c>
      <c r="D3" s="6" t="n">
        <v>7.5</v>
      </c>
      <c r="E3" s="6" t="n">
        <v>14</v>
      </c>
      <c r="F3" s="6" t="n">
        <v>24</v>
      </c>
      <c r="G3" s="6" t="n">
        <v>31.2</v>
      </c>
      <c r="H3" s="6" t="n">
        <v>38.6</v>
      </c>
      <c r="I3" s="6" t="n">
        <v>46.3</v>
      </c>
      <c r="J3" s="6" t="n">
        <v>53.2</v>
      </c>
      <c r="K3" s="6" t="n">
        <v>59.6</v>
      </c>
    </row>
    <row r="4" customFormat="false" ht="15" hidden="false" customHeight="false" outlineLevel="0" collapsed="false">
      <c r="A4" s="2" t="s">
        <v>30</v>
      </c>
      <c r="B4" s="3" t="n">
        <f aca="false">B3*0.35</f>
        <v>0.42</v>
      </c>
      <c r="C4" s="3" t="n">
        <f aca="false">C3*0.35</f>
        <v>1.225</v>
      </c>
      <c r="D4" s="3" t="n">
        <f aca="false">D3*0.35</f>
        <v>2.625</v>
      </c>
      <c r="E4" s="3" t="n">
        <f aca="false">E3*0.35</f>
        <v>4.9</v>
      </c>
      <c r="F4" s="3" t="n">
        <f aca="false">F3*0.35</f>
        <v>8.4</v>
      </c>
      <c r="G4" s="3" t="n">
        <f aca="false">G3*0.35</f>
        <v>10.92</v>
      </c>
      <c r="H4" s="3" t="n">
        <f aca="false">H3*0.35</f>
        <v>13.51</v>
      </c>
      <c r="I4" s="3" t="n">
        <f aca="false">I3*0.35</f>
        <v>16.205</v>
      </c>
      <c r="J4" s="3" t="n">
        <f aca="false">J3*0.35</f>
        <v>18.62</v>
      </c>
      <c r="K4" s="3" t="n">
        <f aca="false">K3*0.35</f>
        <v>20.86</v>
      </c>
    </row>
    <row r="5" customFormat="false" ht="15" hidden="false" customHeight="false" outlineLevel="0" collapsed="false">
      <c r="A5" s="2" t="s">
        <v>31</v>
      </c>
      <c r="B5" s="3" t="n">
        <f aca="false">B3*0.2</f>
        <v>0.24</v>
      </c>
      <c r="C5" s="3" t="n">
        <f aca="false">C3*0.2</f>
        <v>0.7</v>
      </c>
      <c r="D5" s="3" t="n">
        <f aca="false">D3*0.2</f>
        <v>1.5</v>
      </c>
      <c r="E5" s="3" t="n">
        <f aca="false">E3*0.2</f>
        <v>2.8</v>
      </c>
      <c r="F5" s="3" t="n">
        <f aca="false">F3*0.2</f>
        <v>4.8</v>
      </c>
      <c r="G5" s="3" t="n">
        <f aca="false">G3*0.2</f>
        <v>6.24</v>
      </c>
      <c r="H5" s="3" t="n">
        <f aca="false">H3*0.2</f>
        <v>7.72</v>
      </c>
      <c r="I5" s="3" t="n">
        <f aca="false">I3*0.2</f>
        <v>9.26</v>
      </c>
      <c r="J5" s="3" t="n">
        <f aca="false">J3*0.2</f>
        <v>10.64</v>
      </c>
      <c r="K5" s="3" t="n">
        <f aca="false">K3*0.2</f>
        <v>11.92</v>
      </c>
    </row>
    <row r="6" customFormat="false" ht="15" hidden="false" customHeight="false" outlineLevel="0" collapsed="false">
      <c r="A6" s="2" t="s">
        <v>32</v>
      </c>
      <c r="B6" s="3" t="n">
        <f aca="false">B3*0.2</f>
        <v>0.24</v>
      </c>
      <c r="C6" s="3" t="n">
        <f aca="false">C3*0.2</f>
        <v>0.7</v>
      </c>
      <c r="D6" s="3" t="n">
        <f aca="false">D3*0.2</f>
        <v>1.5</v>
      </c>
      <c r="E6" s="3" t="n">
        <f aca="false">E3*0.2</f>
        <v>2.8</v>
      </c>
      <c r="F6" s="3" t="n">
        <f aca="false">F3*0.2</f>
        <v>4.8</v>
      </c>
      <c r="G6" s="3" t="n">
        <f aca="false">G3*0.2</f>
        <v>6.24</v>
      </c>
      <c r="H6" s="3" t="n">
        <f aca="false">H3*0.2</f>
        <v>7.72</v>
      </c>
      <c r="I6" s="3" t="n">
        <f aca="false">I3*0.2</f>
        <v>9.26</v>
      </c>
      <c r="J6" s="3" t="n">
        <f aca="false">J3*0.2</f>
        <v>10.64</v>
      </c>
      <c r="K6" s="3" t="n">
        <f aca="false">K3*0.2</f>
        <v>11.92</v>
      </c>
    </row>
    <row r="7" customFormat="false" ht="15" hidden="false" customHeight="false" outlineLevel="0" collapsed="false">
      <c r="A7" s="2" t="s">
        <v>33</v>
      </c>
      <c r="B7" s="3" t="n">
        <f aca="false">B3*0.1</f>
        <v>0.12</v>
      </c>
      <c r="C7" s="3" t="n">
        <f aca="false">C3*0.1</f>
        <v>0.35</v>
      </c>
      <c r="D7" s="3" t="n">
        <f aca="false">D3*0.1</f>
        <v>0.75</v>
      </c>
      <c r="E7" s="3" t="n">
        <f aca="false">E3*0.1</f>
        <v>1.4</v>
      </c>
      <c r="F7" s="3" t="n">
        <f aca="false">F3*0.1</f>
        <v>2.4</v>
      </c>
      <c r="G7" s="3" t="n">
        <f aca="false">G3*0.1</f>
        <v>3.12</v>
      </c>
      <c r="H7" s="3" t="n">
        <f aca="false">H3*0.1</f>
        <v>3.86</v>
      </c>
      <c r="I7" s="3" t="n">
        <f aca="false">I3*0.1</f>
        <v>4.63</v>
      </c>
      <c r="J7" s="3" t="n">
        <f aca="false">J3*0.1</f>
        <v>5.32</v>
      </c>
      <c r="K7" s="3" t="n">
        <f aca="false">K3*0.1</f>
        <v>5.96</v>
      </c>
    </row>
    <row r="8" customFormat="false" ht="15" hidden="false" customHeight="false" outlineLevel="0" collapsed="false">
      <c r="A8" s="2" t="s">
        <v>34</v>
      </c>
      <c r="B8" s="3" t="n">
        <f aca="false">B3*0.1</f>
        <v>0.12</v>
      </c>
      <c r="C8" s="3" t="n">
        <f aca="false">C3*0.1</f>
        <v>0.35</v>
      </c>
      <c r="D8" s="3" t="n">
        <f aca="false">D3*0.1</f>
        <v>0.75</v>
      </c>
      <c r="E8" s="3" t="n">
        <f aca="false">E3*0.1</f>
        <v>1.4</v>
      </c>
      <c r="F8" s="3" t="n">
        <f aca="false">F3*0.1</f>
        <v>2.4</v>
      </c>
      <c r="G8" s="3" t="n">
        <f aca="false">G3*0.1</f>
        <v>3.12</v>
      </c>
      <c r="H8" s="3" t="n">
        <f aca="false">H3*0.1</f>
        <v>3.86</v>
      </c>
      <c r="I8" s="3" t="n">
        <f aca="false">I3*0.1</f>
        <v>4.63</v>
      </c>
      <c r="J8" s="3" t="n">
        <f aca="false">J3*0.1</f>
        <v>5.32</v>
      </c>
      <c r="K8" s="3" t="n">
        <f aca="false">K3*0.1</f>
        <v>5.96</v>
      </c>
    </row>
    <row r="9" customFormat="false" ht="15" hidden="false" customHeight="false" outlineLevel="0" collapsed="false">
      <c r="A9" s="7" t="s">
        <v>35</v>
      </c>
      <c r="B9" s="3" t="n">
        <f aca="false">B3</f>
        <v>1.2</v>
      </c>
      <c r="C9" s="3" t="n">
        <f aca="false">C3</f>
        <v>3.5</v>
      </c>
      <c r="D9" s="3" t="n">
        <f aca="false">D3</f>
        <v>7.5</v>
      </c>
      <c r="E9" s="3" t="n">
        <f aca="false">E3</f>
        <v>14</v>
      </c>
      <c r="F9" s="3" t="n">
        <f aca="false">F3</f>
        <v>24</v>
      </c>
      <c r="G9" s="3" t="n">
        <f aca="false">G3</f>
        <v>31.2</v>
      </c>
      <c r="H9" s="3" t="n">
        <f aca="false">H3</f>
        <v>38.6</v>
      </c>
      <c r="I9" s="3" t="n">
        <f aca="false">I3</f>
        <v>46.3</v>
      </c>
      <c r="J9" s="3" t="n">
        <f aca="false">J3</f>
        <v>53.2</v>
      </c>
      <c r="K9" s="3" t="n">
        <f aca="false">K3</f>
        <v>59.6</v>
      </c>
    </row>
    <row r="11" customFormat="false" ht="15" hidden="false" customHeight="false" outlineLevel="0" collapsed="false">
      <c r="A11" s="7" t="s">
        <v>36</v>
      </c>
      <c r="B11" s="8" t="n">
        <v>8</v>
      </c>
      <c r="C11" s="8" t="n">
        <v>12</v>
      </c>
      <c r="D11" s="8" t="n">
        <v>20</v>
      </c>
      <c r="E11" s="8" t="n">
        <v>30</v>
      </c>
      <c r="F11" s="8" t="n">
        <v>40</v>
      </c>
      <c r="G11" s="8" t="n">
        <v>50</v>
      </c>
      <c r="H11" s="8" t="n">
        <v>58</v>
      </c>
      <c r="I11" s="8" t="n">
        <v>65</v>
      </c>
      <c r="J11" s="8" t="n">
        <v>72</v>
      </c>
      <c r="K11" s="8" t="n">
        <v>78</v>
      </c>
    </row>
    <row r="12" customFormat="false" ht="15" hidden="false" customHeight="false" outlineLevel="0" collapsed="false">
      <c r="A12" s="2" t="s">
        <v>37</v>
      </c>
      <c r="B12" s="9" t="n">
        <f aca="false">B9/B11</f>
        <v>0.15</v>
      </c>
      <c r="C12" s="9" t="n">
        <f aca="false">C9/C11</f>
        <v>0.291666666666667</v>
      </c>
      <c r="D12" s="9" t="n">
        <f aca="false">D9/D11</f>
        <v>0.375</v>
      </c>
      <c r="E12" s="9" t="n">
        <f aca="false">E9/E11</f>
        <v>0.466666666666667</v>
      </c>
      <c r="F12" s="9" t="n">
        <f aca="false">F9/F11</f>
        <v>0.6</v>
      </c>
      <c r="G12" s="9" t="n">
        <f aca="false">G9/G11</f>
        <v>0.624</v>
      </c>
      <c r="H12" s="9" t="n">
        <f aca="false">H9/H11</f>
        <v>0.66551724137931</v>
      </c>
      <c r="I12" s="9" t="n">
        <f aca="false">I9/I11</f>
        <v>0.712307692307692</v>
      </c>
      <c r="J12" s="9" t="n">
        <f aca="false">J9/J11</f>
        <v>0.738888888888889</v>
      </c>
      <c r="K12" s="9" t="n">
        <f aca="false">K9/K11</f>
        <v>0.764102564102564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11" min="2" style="0" width="15"/>
  </cols>
  <sheetData>
    <row r="1" customFormat="false" ht="17.3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</row>
    <row r="3" customFormat="false" ht="15" hidden="false" customHeight="false" outlineLevel="0" collapsed="false">
      <c r="A3" s="7" t="s">
        <v>39</v>
      </c>
      <c r="B3" s="3" t="n">
        <f aca="false">'Revenue Model'!B9</f>
        <v>1.2</v>
      </c>
      <c r="C3" s="3" t="n">
        <f aca="false">'Revenue Model'!C9</f>
        <v>3.5</v>
      </c>
      <c r="D3" s="3" t="n">
        <f aca="false">'Revenue Model'!D9</f>
        <v>7.5</v>
      </c>
      <c r="E3" s="3" t="n">
        <f aca="false">'Revenue Model'!E9</f>
        <v>14</v>
      </c>
      <c r="F3" s="3" t="n">
        <f aca="false">'Revenue Model'!F9</f>
        <v>24</v>
      </c>
      <c r="G3" s="3" t="n">
        <f aca="false">'Revenue Model'!G9</f>
        <v>31.2</v>
      </c>
      <c r="H3" s="3" t="n">
        <f aca="false">'Revenue Model'!H9</f>
        <v>38.6</v>
      </c>
      <c r="I3" s="3" t="n">
        <f aca="false">'Revenue Model'!I9</f>
        <v>46.3</v>
      </c>
      <c r="J3" s="3" t="n">
        <f aca="false">'Revenue Model'!J9</f>
        <v>53.2</v>
      </c>
      <c r="K3" s="3" t="n">
        <f aca="false">'Revenue Model'!K9</f>
        <v>59.6</v>
      </c>
    </row>
    <row r="4" customFormat="false" ht="15" hidden="false" customHeight="false" outlineLevel="0" collapsed="false">
      <c r="A4" s="2" t="s">
        <v>40</v>
      </c>
      <c r="B4" s="3" t="n">
        <f aca="false">B3*0.33</f>
        <v>0.396</v>
      </c>
      <c r="C4" s="3" t="n">
        <f aca="false">C3*0.33</f>
        <v>1.155</v>
      </c>
      <c r="D4" s="3" t="n">
        <f aca="false">D3*0.33</f>
        <v>2.475</v>
      </c>
      <c r="E4" s="3" t="n">
        <f aca="false">E3*0.33</f>
        <v>4.62</v>
      </c>
      <c r="F4" s="3" t="n">
        <f aca="false">F3*0.33</f>
        <v>7.92</v>
      </c>
      <c r="G4" s="3" t="n">
        <f aca="false">G3*0.33</f>
        <v>10.296</v>
      </c>
      <c r="H4" s="3" t="n">
        <f aca="false">H3*0.33</f>
        <v>12.738</v>
      </c>
      <c r="I4" s="3" t="n">
        <f aca="false">I3*0.33</f>
        <v>15.279</v>
      </c>
      <c r="J4" s="3" t="n">
        <f aca="false">J3*0.33</f>
        <v>17.556</v>
      </c>
      <c r="K4" s="3" t="n">
        <f aca="false">K3*0.33</f>
        <v>19.668</v>
      </c>
    </row>
    <row r="5" customFormat="false" ht="15" hidden="false" customHeight="false" outlineLevel="0" collapsed="false">
      <c r="A5" s="7" t="s">
        <v>41</v>
      </c>
      <c r="B5" s="3" t="n">
        <f aca="false">B3-B4</f>
        <v>0.804</v>
      </c>
      <c r="C5" s="3" t="n">
        <f aca="false">C3-C4</f>
        <v>2.345</v>
      </c>
      <c r="D5" s="3" t="n">
        <f aca="false">D3-D4</f>
        <v>5.025</v>
      </c>
      <c r="E5" s="3" t="n">
        <f aca="false">E3-E4</f>
        <v>9.38</v>
      </c>
      <c r="F5" s="3" t="n">
        <f aca="false">F3-F4</f>
        <v>16.08</v>
      </c>
      <c r="G5" s="3" t="n">
        <f aca="false">G3-G4</f>
        <v>20.904</v>
      </c>
      <c r="H5" s="3" t="n">
        <f aca="false">H3-H4</f>
        <v>25.862</v>
      </c>
      <c r="I5" s="3" t="n">
        <f aca="false">I3-I4</f>
        <v>31.021</v>
      </c>
      <c r="J5" s="3" t="n">
        <f aca="false">J3-J4</f>
        <v>35.644</v>
      </c>
      <c r="K5" s="3" t="n">
        <f aca="false">K3-K4</f>
        <v>39.932</v>
      </c>
    </row>
    <row r="6" customFormat="false" ht="15" hidden="false" customHeight="false" outlineLevel="0" collapsed="false">
      <c r="A6" s="2" t="s">
        <v>42</v>
      </c>
      <c r="B6" s="4" t="n">
        <f aca="false">B5/B3</f>
        <v>0.67</v>
      </c>
      <c r="C6" s="4" t="n">
        <f aca="false">C5/C3</f>
        <v>0.67</v>
      </c>
      <c r="D6" s="4" t="n">
        <f aca="false">D5/D3</f>
        <v>0.67</v>
      </c>
      <c r="E6" s="4" t="n">
        <f aca="false">E5/E3</f>
        <v>0.67</v>
      </c>
      <c r="F6" s="4" t="n">
        <f aca="false">F5/F3</f>
        <v>0.67</v>
      </c>
      <c r="G6" s="4" t="n">
        <f aca="false">G5/G3</f>
        <v>0.67</v>
      </c>
      <c r="H6" s="4" t="n">
        <f aca="false">H5/H3</f>
        <v>0.67</v>
      </c>
      <c r="I6" s="4" t="n">
        <f aca="false">I5/I3</f>
        <v>0.67</v>
      </c>
      <c r="J6" s="4" t="n">
        <f aca="false">J5/J3</f>
        <v>0.67</v>
      </c>
      <c r="K6" s="4" t="n">
        <f aca="false">K5/K3</f>
        <v>0.67</v>
      </c>
    </row>
    <row r="8" customFormat="false" ht="15" hidden="false" customHeight="false" outlineLevel="0" collapsed="false">
      <c r="A8" s="7" t="s">
        <v>43</v>
      </c>
    </row>
    <row r="9" customFormat="false" ht="15" hidden="false" customHeight="false" outlineLevel="0" collapsed="false">
      <c r="A9" s="2" t="s">
        <v>44</v>
      </c>
      <c r="B9" s="3" t="n">
        <f aca="false">B3*0.25</f>
        <v>0.3</v>
      </c>
      <c r="C9" s="3" t="n">
        <f aca="false">C3*0.24</f>
        <v>0.84</v>
      </c>
      <c r="D9" s="3" t="n">
        <f aca="false">D3*0.23</f>
        <v>1.725</v>
      </c>
      <c r="E9" s="3" t="n">
        <f aca="false">E3*0.22</f>
        <v>3.08</v>
      </c>
      <c r="F9" s="3" t="n">
        <f aca="false">F3*0.21</f>
        <v>5.04</v>
      </c>
      <c r="G9" s="3" t="n">
        <f aca="false">G3*0.2</f>
        <v>6.24</v>
      </c>
      <c r="H9" s="3" t="n">
        <f aca="false">H3*0.19</f>
        <v>7.334</v>
      </c>
      <c r="I9" s="3" t="n">
        <f aca="false">I3*0.18</f>
        <v>8.334</v>
      </c>
      <c r="J9" s="3" t="n">
        <f aca="false">J3*0.18</f>
        <v>9.576</v>
      </c>
      <c r="K9" s="3" t="n">
        <f aca="false">K3*0.18</f>
        <v>10.728</v>
      </c>
    </row>
    <row r="10" customFormat="false" ht="15" hidden="false" customHeight="false" outlineLevel="0" collapsed="false">
      <c r="A10" s="2" t="s">
        <v>45</v>
      </c>
      <c r="B10" s="3" t="n">
        <f aca="false">B3*0.2</f>
        <v>0.24</v>
      </c>
      <c r="C10" s="3" t="n">
        <f aca="false">C3*0.19</f>
        <v>0.665</v>
      </c>
      <c r="D10" s="3" t="n">
        <f aca="false">D3*0.18</f>
        <v>1.35</v>
      </c>
      <c r="E10" s="3" t="n">
        <f aca="false">E3*0.17</f>
        <v>2.38</v>
      </c>
      <c r="F10" s="3" t="n">
        <f aca="false">F3*0.16</f>
        <v>3.84</v>
      </c>
      <c r="G10" s="3" t="n">
        <f aca="false">G3*0.15</f>
        <v>4.68</v>
      </c>
      <c r="H10" s="3" t="n">
        <f aca="false">H3*0.15</f>
        <v>5.79</v>
      </c>
      <c r="I10" s="3" t="n">
        <f aca="false">I3*0.14</f>
        <v>6.482</v>
      </c>
      <c r="J10" s="3" t="n">
        <f aca="false">J3*0.14</f>
        <v>7.448</v>
      </c>
      <c r="K10" s="3" t="n">
        <f aca="false">K3*0.14</f>
        <v>8.344</v>
      </c>
    </row>
    <row r="11" customFormat="false" ht="15" hidden="false" customHeight="false" outlineLevel="0" collapsed="false">
      <c r="A11" s="2" t="s">
        <v>46</v>
      </c>
      <c r="B11" s="3" t="n">
        <f aca="false">B3*0.15</f>
        <v>0.18</v>
      </c>
      <c r="C11" s="3" t="n">
        <f aca="false">C3*0.14</f>
        <v>0.49</v>
      </c>
      <c r="D11" s="3" t="n">
        <f aca="false">D3*0.12</f>
        <v>0.9</v>
      </c>
      <c r="E11" s="3" t="n">
        <f aca="false">E3*0.11</f>
        <v>1.54</v>
      </c>
      <c r="F11" s="3" t="n">
        <f aca="false">F3*0.1</f>
        <v>2.4</v>
      </c>
      <c r="G11" s="3" t="n">
        <f aca="false">G3*0.1</f>
        <v>3.12</v>
      </c>
      <c r="H11" s="3" t="n">
        <f aca="false">H3*0.1</f>
        <v>3.86</v>
      </c>
      <c r="I11" s="3" t="n">
        <f aca="false">I3*0.09</f>
        <v>4.167</v>
      </c>
      <c r="J11" s="3" t="n">
        <f aca="false">J3*0.09</f>
        <v>4.788</v>
      </c>
      <c r="K11" s="3" t="n">
        <f aca="false">K3*0.09</f>
        <v>5.364</v>
      </c>
    </row>
    <row r="12" customFormat="false" ht="15" hidden="false" customHeight="false" outlineLevel="0" collapsed="false">
      <c r="A12" s="2" t="s">
        <v>47</v>
      </c>
      <c r="B12" s="3" t="n">
        <f aca="false">B3*0.1</f>
        <v>0.12</v>
      </c>
      <c r="C12" s="3" t="n">
        <f aca="false">C3*0.09</f>
        <v>0.315</v>
      </c>
      <c r="D12" s="3" t="n">
        <f aca="false">D3*0.08</f>
        <v>0.6</v>
      </c>
      <c r="E12" s="3" t="n">
        <f aca="false">E3*0.08</f>
        <v>1.12</v>
      </c>
      <c r="F12" s="3" t="n">
        <f aca="false">F3*0.07</f>
        <v>1.68</v>
      </c>
      <c r="G12" s="3" t="n">
        <f aca="false">G3*0.07</f>
        <v>2.184</v>
      </c>
      <c r="H12" s="3" t="n">
        <f aca="false">H3*0.07</f>
        <v>2.702</v>
      </c>
      <c r="I12" s="3" t="n">
        <f aca="false">I3*0.06</f>
        <v>2.778</v>
      </c>
      <c r="J12" s="3" t="n">
        <f aca="false">J3*0.06</f>
        <v>3.192</v>
      </c>
      <c r="K12" s="3" t="n">
        <f aca="false">K3*0.06</f>
        <v>3.576</v>
      </c>
    </row>
    <row r="13" customFormat="false" ht="15" hidden="false" customHeight="false" outlineLevel="0" collapsed="false">
      <c r="A13" s="7" t="s">
        <v>48</v>
      </c>
      <c r="B13" s="3" t="n">
        <f aca="false">SUM(B9:B12)</f>
        <v>0.84</v>
      </c>
      <c r="C13" s="3" t="n">
        <f aca="false">SUM(C9:C12)</f>
        <v>2.31</v>
      </c>
      <c r="D13" s="3" t="n">
        <f aca="false">SUM(D9:D12)</f>
        <v>4.575</v>
      </c>
      <c r="E13" s="3" t="n">
        <f aca="false">SUM(E9:E12)</f>
        <v>8.12</v>
      </c>
      <c r="F13" s="3" t="n">
        <f aca="false">SUM(F9:F12)</f>
        <v>12.96</v>
      </c>
      <c r="G13" s="3" t="n">
        <f aca="false">SUM(G9:G12)</f>
        <v>16.224</v>
      </c>
      <c r="H13" s="3" t="n">
        <f aca="false">SUM(H9:H12)</f>
        <v>19.686</v>
      </c>
      <c r="I13" s="3" t="n">
        <f aca="false">SUM(I9:I12)</f>
        <v>21.761</v>
      </c>
      <c r="J13" s="3" t="n">
        <f aca="false">SUM(J9:J12)</f>
        <v>25.004</v>
      </c>
      <c r="K13" s="3" t="n">
        <f aca="false">SUM(K9:K12)</f>
        <v>28.012</v>
      </c>
    </row>
    <row r="14" customFormat="false" ht="15" hidden="false" customHeight="false" outlineLevel="0" collapsed="false">
      <c r="A14" s="2" t="s">
        <v>49</v>
      </c>
      <c r="B14" s="4" t="n">
        <f aca="false">B13/B3</f>
        <v>0.7</v>
      </c>
      <c r="C14" s="4" t="n">
        <f aca="false">C13/C3</f>
        <v>0.66</v>
      </c>
      <c r="D14" s="4" t="n">
        <f aca="false">D13/D3</f>
        <v>0.61</v>
      </c>
      <c r="E14" s="4" t="n">
        <f aca="false">E13/E3</f>
        <v>0.58</v>
      </c>
      <c r="F14" s="4" t="n">
        <f aca="false">F13/F3</f>
        <v>0.54</v>
      </c>
      <c r="G14" s="4" t="n">
        <f aca="false">G13/G3</f>
        <v>0.52</v>
      </c>
      <c r="H14" s="4" t="n">
        <f aca="false">H13/H3</f>
        <v>0.51</v>
      </c>
      <c r="I14" s="4" t="n">
        <f aca="false">I13/I3</f>
        <v>0.47</v>
      </c>
      <c r="J14" s="4" t="n">
        <f aca="false">J13/J3</f>
        <v>0.47</v>
      </c>
      <c r="K14" s="4" t="n">
        <f aca="false">K13/K3</f>
        <v>0.47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11" min="2" style="0" width="15"/>
  </cols>
  <sheetData>
    <row r="1" customFormat="false" ht="17.3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</row>
    <row r="3" customFormat="false" ht="15" hidden="false" customHeight="false" outlineLevel="0" collapsed="false">
      <c r="A3" s="2" t="s">
        <v>51</v>
      </c>
      <c r="B3" s="3" t="n">
        <f aca="false">'Revenue Model'!B9</f>
        <v>1.2</v>
      </c>
      <c r="C3" s="3" t="n">
        <f aca="false">'Revenue Model'!C9</f>
        <v>3.5</v>
      </c>
      <c r="D3" s="3" t="n">
        <f aca="false">'Revenue Model'!D9</f>
        <v>7.5</v>
      </c>
      <c r="E3" s="3" t="n">
        <f aca="false">'Revenue Model'!E9</f>
        <v>14</v>
      </c>
      <c r="F3" s="3" t="n">
        <f aca="false">'Revenue Model'!F9</f>
        <v>24</v>
      </c>
      <c r="G3" s="3" t="n">
        <f aca="false">'Revenue Model'!G9</f>
        <v>31.2</v>
      </c>
      <c r="H3" s="3" t="n">
        <f aca="false">'Revenue Model'!H9</f>
        <v>38.6</v>
      </c>
      <c r="I3" s="3" t="n">
        <f aca="false">'Revenue Model'!I9</f>
        <v>46.3</v>
      </c>
      <c r="J3" s="3" t="n">
        <f aca="false">'Revenue Model'!J9</f>
        <v>53.2</v>
      </c>
      <c r="K3" s="3" t="n">
        <f aca="false">'Revenue Model'!K9</f>
        <v>59.6</v>
      </c>
    </row>
    <row r="4" customFormat="false" ht="15" hidden="false" customHeight="false" outlineLevel="0" collapsed="false">
      <c r="A4" s="2" t="s">
        <v>52</v>
      </c>
      <c r="B4" s="3" t="n">
        <f aca="false">'Cost Structure'!B4</f>
        <v>0.396</v>
      </c>
      <c r="C4" s="3" t="n">
        <f aca="false">'Cost Structure'!C4</f>
        <v>1.155</v>
      </c>
      <c r="D4" s="3" t="n">
        <f aca="false">'Cost Structure'!D4</f>
        <v>2.475</v>
      </c>
      <c r="E4" s="3" t="n">
        <f aca="false">'Cost Structure'!E4</f>
        <v>4.62</v>
      </c>
      <c r="F4" s="3" t="n">
        <f aca="false">'Cost Structure'!F4</f>
        <v>7.92</v>
      </c>
      <c r="G4" s="3" t="n">
        <f aca="false">'Cost Structure'!G4</f>
        <v>10.296</v>
      </c>
      <c r="H4" s="3" t="n">
        <f aca="false">'Cost Structure'!H4</f>
        <v>12.738</v>
      </c>
      <c r="I4" s="3" t="n">
        <f aca="false">'Cost Structure'!I4</f>
        <v>15.279</v>
      </c>
      <c r="J4" s="3" t="n">
        <f aca="false">'Cost Structure'!J4</f>
        <v>17.556</v>
      </c>
      <c r="K4" s="3" t="n">
        <f aca="false">'Cost Structure'!K4</f>
        <v>19.668</v>
      </c>
    </row>
    <row r="5" customFormat="false" ht="15" hidden="false" customHeight="false" outlineLevel="0" collapsed="false">
      <c r="A5" s="7" t="s">
        <v>53</v>
      </c>
      <c r="B5" s="3" t="n">
        <f aca="false">B3-B4</f>
        <v>0.804</v>
      </c>
      <c r="C5" s="3" t="n">
        <f aca="false">C3-C4</f>
        <v>2.345</v>
      </c>
      <c r="D5" s="3" t="n">
        <f aca="false">D3-D4</f>
        <v>5.025</v>
      </c>
      <c r="E5" s="3" t="n">
        <f aca="false">E3-E4</f>
        <v>9.38</v>
      </c>
      <c r="F5" s="3" t="n">
        <f aca="false">F3-F4</f>
        <v>16.08</v>
      </c>
      <c r="G5" s="3" t="n">
        <f aca="false">G3-G4</f>
        <v>20.904</v>
      </c>
      <c r="H5" s="3" t="n">
        <f aca="false">H3-H4</f>
        <v>25.862</v>
      </c>
      <c r="I5" s="3" t="n">
        <f aca="false">I3-I4</f>
        <v>31.021</v>
      </c>
      <c r="J5" s="3" t="n">
        <f aca="false">J3-J4</f>
        <v>35.644</v>
      </c>
      <c r="K5" s="3" t="n">
        <f aca="false">K3-K4</f>
        <v>39.932</v>
      </c>
    </row>
    <row r="6" customFormat="false" ht="15" hidden="false" customHeight="false" outlineLevel="0" collapsed="false">
      <c r="A6" s="2" t="s">
        <v>54</v>
      </c>
      <c r="B6" s="3" t="n">
        <f aca="false">'Cost Structure'!B13</f>
        <v>0.84</v>
      </c>
      <c r="C6" s="3" t="n">
        <f aca="false">'Cost Structure'!C13</f>
        <v>2.31</v>
      </c>
      <c r="D6" s="3" t="n">
        <f aca="false">'Cost Structure'!D13</f>
        <v>4.575</v>
      </c>
      <c r="E6" s="3" t="n">
        <f aca="false">'Cost Structure'!E13</f>
        <v>8.12</v>
      </c>
      <c r="F6" s="3" t="n">
        <f aca="false">'Cost Structure'!F13</f>
        <v>12.96</v>
      </c>
      <c r="G6" s="3" t="n">
        <f aca="false">'Cost Structure'!G13</f>
        <v>16.224</v>
      </c>
      <c r="H6" s="3" t="n">
        <f aca="false">'Cost Structure'!H13</f>
        <v>19.686</v>
      </c>
      <c r="I6" s="3" t="n">
        <f aca="false">'Cost Structure'!I13</f>
        <v>21.761</v>
      </c>
      <c r="J6" s="3" t="n">
        <f aca="false">'Cost Structure'!J13</f>
        <v>25.004</v>
      </c>
      <c r="K6" s="3" t="n">
        <f aca="false">'Cost Structure'!K13</f>
        <v>28.012</v>
      </c>
    </row>
    <row r="7" customFormat="false" ht="15" hidden="false" customHeight="false" outlineLevel="0" collapsed="false">
      <c r="A7" s="7" t="s">
        <v>55</v>
      </c>
      <c r="B7" s="3" t="n">
        <f aca="false">B5-B6</f>
        <v>-0.036</v>
      </c>
      <c r="C7" s="3" t="n">
        <f aca="false">C5-C6</f>
        <v>0.0349999999999997</v>
      </c>
      <c r="D7" s="3" t="n">
        <f aca="false">D5-D6</f>
        <v>0.450000000000001</v>
      </c>
      <c r="E7" s="3" t="n">
        <f aca="false">E5-E6</f>
        <v>1.26</v>
      </c>
      <c r="F7" s="3" t="n">
        <f aca="false">F5-F6</f>
        <v>3.12</v>
      </c>
      <c r="G7" s="3" t="n">
        <f aca="false">G5-G6</f>
        <v>4.68</v>
      </c>
      <c r="H7" s="3" t="n">
        <f aca="false">H5-H6</f>
        <v>6.176</v>
      </c>
      <c r="I7" s="3" t="n">
        <f aca="false">I5-I6</f>
        <v>9.26</v>
      </c>
      <c r="J7" s="3" t="n">
        <f aca="false">J5-J6</f>
        <v>10.64</v>
      </c>
      <c r="K7" s="3" t="n">
        <f aca="false">K5-K6</f>
        <v>11.92</v>
      </c>
    </row>
    <row r="8" customFormat="false" ht="15" hidden="false" customHeight="false" outlineLevel="0" collapsed="false">
      <c r="A8" s="2" t="s">
        <v>56</v>
      </c>
      <c r="B8" s="3" t="n">
        <f aca="false">B3*0.05</f>
        <v>0.06</v>
      </c>
      <c r="C8" s="3" t="n">
        <f aca="false">C3*0.05</f>
        <v>0.175</v>
      </c>
      <c r="D8" s="3" t="n">
        <f aca="false">D3*0.05</f>
        <v>0.375</v>
      </c>
      <c r="E8" s="3" t="n">
        <f aca="false">E3*0.05</f>
        <v>0.7</v>
      </c>
      <c r="F8" s="3" t="n">
        <f aca="false">F3*0.05</f>
        <v>1.2</v>
      </c>
      <c r="G8" s="3" t="n">
        <f aca="false">G3*0.05</f>
        <v>1.56</v>
      </c>
      <c r="H8" s="3" t="n">
        <f aca="false">H3*0.05</f>
        <v>1.93</v>
      </c>
      <c r="I8" s="3" t="n">
        <f aca="false">I3*0.05</f>
        <v>2.315</v>
      </c>
      <c r="J8" s="3" t="n">
        <f aca="false">J3*0.05</f>
        <v>2.66</v>
      </c>
      <c r="K8" s="3" t="n">
        <f aca="false">K3*0.05</f>
        <v>2.98</v>
      </c>
    </row>
    <row r="9" customFormat="false" ht="15" hidden="false" customHeight="false" outlineLevel="0" collapsed="false">
      <c r="A9" s="2" t="s">
        <v>57</v>
      </c>
      <c r="B9" s="3" t="n">
        <f aca="false">B7-B8</f>
        <v>-0.096</v>
      </c>
      <c r="C9" s="3" t="n">
        <f aca="false">C7-C8</f>
        <v>-0.14</v>
      </c>
      <c r="D9" s="3" t="n">
        <f aca="false">D7-D8</f>
        <v>0.0750000000000011</v>
      </c>
      <c r="E9" s="3" t="n">
        <f aca="false">E7-E8</f>
        <v>0.559999999999998</v>
      </c>
      <c r="F9" s="3" t="n">
        <f aca="false">F7-F8</f>
        <v>1.92</v>
      </c>
      <c r="G9" s="3" t="n">
        <f aca="false">G7-G8</f>
        <v>3.12</v>
      </c>
      <c r="H9" s="3" t="n">
        <f aca="false">H7-H8</f>
        <v>4.246</v>
      </c>
      <c r="I9" s="3" t="n">
        <f aca="false">I7-I8</f>
        <v>6.945</v>
      </c>
      <c r="J9" s="3" t="n">
        <f aca="false">J7-J8</f>
        <v>7.98</v>
      </c>
      <c r="K9" s="3" t="n">
        <f aca="false">K7-K8</f>
        <v>8.94</v>
      </c>
    </row>
    <row r="11" customFormat="false" ht="15" hidden="false" customHeight="false" outlineLevel="0" collapsed="false">
      <c r="A11" s="7" t="s">
        <v>58</v>
      </c>
      <c r="B11" s="3" t="n">
        <f aca="false">B7</f>
        <v>-0.036</v>
      </c>
      <c r="C11" s="3" t="n">
        <f aca="false">C7</f>
        <v>0.0349999999999997</v>
      </c>
      <c r="D11" s="3" t="n">
        <f aca="false">D7</f>
        <v>0.450000000000001</v>
      </c>
      <c r="E11" s="3" t="n">
        <f aca="false">E7</f>
        <v>1.26</v>
      </c>
      <c r="F11" s="3" t="n">
        <f aca="false">F7</f>
        <v>3.12</v>
      </c>
      <c r="G11" s="3" t="n">
        <f aca="false">G7</f>
        <v>4.68</v>
      </c>
      <c r="H11" s="3" t="n">
        <f aca="false">H7</f>
        <v>6.176</v>
      </c>
      <c r="I11" s="3" t="n">
        <f aca="false">I7</f>
        <v>9.26</v>
      </c>
      <c r="J11" s="3" t="n">
        <f aca="false">J7</f>
        <v>10.64</v>
      </c>
      <c r="K11" s="3" t="n">
        <f aca="false">K7</f>
        <v>11.92</v>
      </c>
    </row>
    <row r="12" customFormat="false" ht="15" hidden="false" customHeight="false" outlineLevel="0" collapsed="false">
      <c r="A12" s="2" t="s">
        <v>59</v>
      </c>
      <c r="B12" s="4" t="n">
        <f aca="false">B11/B3</f>
        <v>-0.03</v>
      </c>
      <c r="C12" s="4" t="n">
        <f aca="false">C11/C3</f>
        <v>0.00999999999999991</v>
      </c>
      <c r="D12" s="4" t="n">
        <f aca="false">D11/D3</f>
        <v>0.0600000000000001</v>
      </c>
      <c r="E12" s="4" t="n">
        <f aca="false">E11/E3</f>
        <v>0.0899999999999999</v>
      </c>
      <c r="F12" s="4" t="n">
        <f aca="false">F11/F3</f>
        <v>0.13</v>
      </c>
      <c r="G12" s="4" t="n">
        <f aca="false">G11/G3</f>
        <v>0.15</v>
      </c>
      <c r="H12" s="4" t="n">
        <f aca="false">H11/H3</f>
        <v>0.16</v>
      </c>
      <c r="I12" s="4" t="n">
        <f aca="false">I11/I3</f>
        <v>0.2</v>
      </c>
      <c r="J12" s="4" t="n">
        <f aca="false">J11/J3</f>
        <v>0.2</v>
      </c>
      <c r="K12" s="4" t="n">
        <f aca="false">K11/K3</f>
        <v>0.2</v>
      </c>
    </row>
    <row r="14" customFormat="false" ht="15" hidden="false" customHeight="false" outlineLevel="0" collapsed="false">
      <c r="A14" s="7" t="s">
        <v>60</v>
      </c>
    </row>
    <row r="15" customFormat="false" ht="15" hidden="false" customHeight="false" outlineLevel="0" collapsed="false">
      <c r="A15" s="2" t="s">
        <v>61</v>
      </c>
      <c r="B15" s="3" t="n">
        <f aca="false">B7</f>
        <v>-0.036</v>
      </c>
      <c r="C15" s="3" t="n">
        <f aca="false">C7</f>
        <v>0.0349999999999997</v>
      </c>
      <c r="D15" s="3" t="n">
        <f aca="false">D7</f>
        <v>0.450000000000001</v>
      </c>
      <c r="E15" s="3" t="n">
        <f aca="false">E7</f>
        <v>1.26</v>
      </c>
      <c r="F15" s="3" t="n">
        <f aca="false">F7</f>
        <v>3.12</v>
      </c>
      <c r="G15" s="3" t="n">
        <f aca="false">G7</f>
        <v>4.68</v>
      </c>
      <c r="H15" s="3" t="n">
        <f aca="false">H7</f>
        <v>6.176</v>
      </c>
      <c r="I15" s="3" t="n">
        <f aca="false">I7</f>
        <v>9.26</v>
      </c>
      <c r="J15" s="3" t="n">
        <f aca="false">J7</f>
        <v>10.64</v>
      </c>
      <c r="K15" s="3" t="n">
        <f aca="false">K7</f>
        <v>11.92</v>
      </c>
    </row>
    <row r="16" customFormat="false" ht="15" hidden="false" customHeight="false" outlineLevel="0" collapsed="false">
      <c r="A16" s="2" t="s">
        <v>62</v>
      </c>
      <c r="B16" s="6" t="n">
        <v>1</v>
      </c>
      <c r="C16" s="6" t="n">
        <v>1.5</v>
      </c>
      <c r="D16" s="6" t="n">
        <v>0.5</v>
      </c>
      <c r="E16" s="6" t="n">
        <v>0.5</v>
      </c>
      <c r="F16" s="6" t="n">
        <v>0.3</v>
      </c>
      <c r="G16" s="6" t="n">
        <v>0.3</v>
      </c>
      <c r="H16" s="6" t="n">
        <v>0.2</v>
      </c>
      <c r="I16" s="6" t="n">
        <v>0.2</v>
      </c>
      <c r="J16" s="6" t="n">
        <v>0.2</v>
      </c>
      <c r="K16" s="6" t="n">
        <v>0.2</v>
      </c>
    </row>
    <row r="17" customFormat="false" ht="15" hidden="false" customHeight="false" outlineLevel="0" collapsed="false">
      <c r="A17" s="7" t="s">
        <v>63</v>
      </c>
      <c r="B17" s="3" t="n">
        <f aca="false">B15-B16</f>
        <v>-1.036</v>
      </c>
      <c r="C17" s="3" t="n">
        <f aca="false">C15-C16</f>
        <v>-1.465</v>
      </c>
      <c r="D17" s="3" t="n">
        <f aca="false">D15-D16</f>
        <v>-0.0499999999999989</v>
      </c>
      <c r="E17" s="3" t="n">
        <f aca="false">E15-E16</f>
        <v>0.759999999999998</v>
      </c>
      <c r="F17" s="3" t="n">
        <f aca="false">F15-F16</f>
        <v>2.82</v>
      </c>
      <c r="G17" s="3" t="n">
        <f aca="false">G15-G16</f>
        <v>4.38</v>
      </c>
      <c r="H17" s="3" t="n">
        <f aca="false">H15-H16</f>
        <v>5.976</v>
      </c>
      <c r="I17" s="3" t="n">
        <f aca="false">I15-I16</f>
        <v>9.06</v>
      </c>
      <c r="J17" s="3" t="n">
        <f aca="false">J15-J16</f>
        <v>10.44</v>
      </c>
      <c r="K17" s="3" t="n">
        <f aca="false">K15-K16</f>
        <v>11.72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7.35" hidden="false" customHeight="true" outlineLevel="0" collapsed="false">
      <c r="A1" s="1" t="s">
        <v>64</v>
      </c>
      <c r="B1" s="1"/>
      <c r="C1" s="1"/>
      <c r="D1" s="1"/>
    </row>
    <row r="2" customFormat="false" ht="15" hidden="false" customHeight="false" outlineLevel="0" collapsed="false">
      <c r="A2" s="5" t="s">
        <v>65</v>
      </c>
      <c r="B2" s="5" t="s">
        <v>66</v>
      </c>
      <c r="C2" s="5" t="s">
        <v>67</v>
      </c>
      <c r="D2" s="5" t="s">
        <v>68</v>
      </c>
    </row>
    <row r="3" customFormat="false" ht="15" hidden="false" customHeight="false" outlineLevel="0" collapsed="false">
      <c r="A3" s="0" t="s">
        <v>69</v>
      </c>
      <c r="B3" s="6" t="n">
        <v>1</v>
      </c>
      <c r="C3" s="2" t="s">
        <v>70</v>
      </c>
      <c r="D3" s="2" t="s">
        <v>71</v>
      </c>
    </row>
    <row r="4" customFormat="false" ht="15" hidden="false" customHeight="false" outlineLevel="0" collapsed="false">
      <c r="A4" s="0" t="s">
        <v>72</v>
      </c>
      <c r="B4" s="6" t="n">
        <v>1.5</v>
      </c>
      <c r="C4" s="2" t="s">
        <v>73</v>
      </c>
      <c r="D4" s="2" t="s">
        <v>74</v>
      </c>
    </row>
    <row r="5" customFormat="false" ht="15" hidden="false" customHeight="false" outlineLevel="0" collapsed="false">
      <c r="A5" s="7" t="s">
        <v>75</v>
      </c>
      <c r="B5" s="10" t="n">
        <f aca="false">B3+B4</f>
        <v>2.5</v>
      </c>
    </row>
    <row r="7" customFormat="false" ht="15" hidden="false" customHeight="false" outlineLevel="0" collapsed="false">
      <c r="A7" s="7" t="s">
        <v>76</v>
      </c>
    </row>
    <row r="8" customFormat="false" ht="15" hidden="false" customHeight="false" outlineLevel="0" collapsed="false">
      <c r="A8" s="0" t="s">
        <v>70</v>
      </c>
      <c r="B8" s="3" t="n">
        <f aca="false">B3</f>
        <v>1</v>
      </c>
    </row>
    <row r="9" customFormat="false" ht="15" hidden="false" customHeight="false" outlineLevel="0" collapsed="false">
      <c r="A9" s="0" t="s">
        <v>73</v>
      </c>
      <c r="B9" s="3" t="n">
        <f aca="false">B8+B4</f>
        <v>2.5</v>
      </c>
    </row>
    <row r="11" customFormat="false" ht="15" hidden="false" customHeight="false" outlineLevel="0" collapsed="false">
      <c r="A11" s="7" t="s">
        <v>77</v>
      </c>
    </row>
    <row r="12" customFormat="false" ht="15" hidden="false" customHeight="false" outlineLevel="0" collapsed="false">
      <c r="A12" s="0" t="s">
        <v>16</v>
      </c>
      <c r="B12" s="3" t="n">
        <f aca="false">B5</f>
        <v>2.5</v>
      </c>
    </row>
    <row r="13" customFormat="false" ht="15" hidden="false" customHeight="false" outlineLevel="0" collapsed="false">
      <c r="A13" s="0" t="s">
        <v>78</v>
      </c>
      <c r="B13" s="3" t="n">
        <f aca="false">'EBITDA &amp; Cash Flow'!B17</f>
        <v>-1.036</v>
      </c>
    </row>
    <row r="14" customFormat="false" ht="15" hidden="false" customHeight="false" outlineLevel="0" collapsed="false">
      <c r="A14" s="0" t="s">
        <v>79</v>
      </c>
      <c r="B14" s="3" t="n">
        <f aca="false">'EBITDA &amp; Cash Flow'!C17</f>
        <v>-1.465</v>
      </c>
    </row>
    <row r="15" customFormat="false" ht="15" hidden="false" customHeight="false" outlineLevel="0" collapsed="false">
      <c r="A15" s="0" t="s">
        <v>80</v>
      </c>
      <c r="B15" s="3" t="n">
        <f aca="false">'EBITDA &amp; Cash Flow'!D17</f>
        <v>-0.0499999999999989</v>
      </c>
    </row>
    <row r="16" customFormat="false" ht="15" hidden="false" customHeight="false" outlineLevel="0" collapsed="false">
      <c r="A16" s="0" t="s">
        <v>81</v>
      </c>
      <c r="B16" s="10" t="n">
        <f aca="false">B13+B14+B15</f>
        <v>-2.551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</cols>
  <sheetData>
    <row r="1" customFormat="false" ht="17.35" hidden="false" customHeight="true" outlineLevel="0" collapsed="false">
      <c r="A1" s="1" t="s">
        <v>82</v>
      </c>
      <c r="B1" s="1"/>
      <c r="C1" s="1"/>
    </row>
    <row r="3" customFormat="false" ht="15" hidden="false" customHeight="false" outlineLevel="0" collapsed="false">
      <c r="A3" s="7" t="s">
        <v>83</v>
      </c>
    </row>
    <row r="4" customFormat="false" ht="15" hidden="false" customHeight="false" outlineLevel="0" collapsed="false">
      <c r="A4" s="0" t="s">
        <v>84</v>
      </c>
      <c r="B4" s="3" t="n">
        <f aca="false">'EBITDA &amp; Cash Flow'!F11</f>
        <v>3.12</v>
      </c>
    </row>
    <row r="5" customFormat="false" ht="15" hidden="false" customHeight="false" outlineLevel="0" collapsed="false">
      <c r="A5" s="2" t="s">
        <v>85</v>
      </c>
    </row>
    <row r="7" customFormat="false" ht="26.85" hidden="false" customHeight="false" outlineLevel="0" collapsed="false">
      <c r="A7" s="5" t="s">
        <v>86</v>
      </c>
      <c r="B7" s="5" t="s">
        <v>87</v>
      </c>
      <c r="C7" s="5" t="s">
        <v>88</v>
      </c>
    </row>
    <row r="8" customFormat="false" ht="15" hidden="false" customHeight="false" outlineLevel="0" collapsed="false">
      <c r="A8" s="2" t="s">
        <v>89</v>
      </c>
      <c r="B8" s="11" t="n">
        <v>8</v>
      </c>
      <c r="C8" s="3" t="n">
        <f aca="false">B4*B8</f>
        <v>24.96</v>
      </c>
    </row>
    <row r="9" customFormat="false" ht="15" hidden="false" customHeight="false" outlineLevel="0" collapsed="false">
      <c r="A9" s="2" t="s">
        <v>90</v>
      </c>
      <c r="B9" s="11" t="n">
        <v>9</v>
      </c>
      <c r="C9" s="3" t="n">
        <f aca="false">B4*B9</f>
        <v>28.08</v>
      </c>
    </row>
    <row r="10" customFormat="false" ht="15" hidden="false" customHeight="false" outlineLevel="0" collapsed="false">
      <c r="A10" s="2" t="s">
        <v>91</v>
      </c>
      <c r="B10" s="11" t="n">
        <v>10</v>
      </c>
      <c r="C10" s="3" t="n">
        <f aca="false">B4*B10</f>
        <v>31.2</v>
      </c>
    </row>
    <row r="12" customFormat="false" ht="15" hidden="false" customHeight="false" outlineLevel="0" collapsed="false">
      <c r="A12" s="7" t="s">
        <v>92</v>
      </c>
    </row>
    <row r="13" customFormat="false" ht="15" hidden="false" customHeight="false" outlineLevel="0" collapsed="false">
      <c r="A13" s="0" t="s">
        <v>93</v>
      </c>
      <c r="B13" s="3" t="n">
        <f aca="false">'EBITDA &amp; Cash Flow'!K11</f>
        <v>11.92</v>
      </c>
    </row>
    <row r="16" customFormat="false" ht="26.85" hidden="false" customHeight="false" outlineLevel="0" collapsed="false">
      <c r="A16" s="5" t="s">
        <v>86</v>
      </c>
      <c r="B16" s="5" t="s">
        <v>87</v>
      </c>
      <c r="C16" s="5" t="s">
        <v>88</v>
      </c>
    </row>
    <row r="17" customFormat="false" ht="15" hidden="false" customHeight="false" outlineLevel="0" collapsed="false">
      <c r="A17" s="2" t="s">
        <v>89</v>
      </c>
      <c r="B17" s="11" t="n">
        <v>8</v>
      </c>
      <c r="C17" s="3" t="n">
        <f aca="false">B13*B17</f>
        <v>95.36</v>
      </c>
    </row>
    <row r="18" customFormat="false" ht="15" hidden="false" customHeight="false" outlineLevel="0" collapsed="false">
      <c r="A18" s="2" t="s">
        <v>90</v>
      </c>
      <c r="B18" s="11" t="n">
        <v>9</v>
      </c>
      <c r="C18" s="3" t="n">
        <f aca="false">B13*B18</f>
        <v>107.28</v>
      </c>
    </row>
    <row r="19" customFormat="false" ht="15" hidden="false" customHeight="false" outlineLevel="0" collapsed="false">
      <c r="A19" s="2" t="s">
        <v>91</v>
      </c>
      <c r="B19" s="11" t="n">
        <v>10</v>
      </c>
      <c r="C19" s="3" t="n">
        <f aca="false">B13*B19</f>
        <v>119.2</v>
      </c>
    </row>
    <row r="22" customFormat="false" ht="15" hidden="false" customHeight="false" outlineLevel="0" collapsed="false">
      <c r="A22" s="7" t="s">
        <v>94</v>
      </c>
    </row>
    <row r="23" customFormat="false" ht="15" hidden="false" customHeight="false" outlineLevel="0" collapsed="false">
      <c r="A23" s="0" t="s">
        <v>95</v>
      </c>
      <c r="B23" s="3" t="n">
        <f aca="false">'Capital Requirements'!B5</f>
        <v>2.5</v>
      </c>
    </row>
    <row r="25" customFormat="false" ht="15" hidden="false" customHeight="false" outlineLevel="0" collapsed="false">
      <c r="A25" s="5" t="s">
        <v>86</v>
      </c>
      <c r="B25" s="5" t="s">
        <v>96</v>
      </c>
      <c r="C25" s="5" t="s">
        <v>97</v>
      </c>
    </row>
    <row r="26" customFormat="false" ht="15" hidden="false" customHeight="false" outlineLevel="0" collapsed="false">
      <c r="A26" s="2" t="s">
        <v>89</v>
      </c>
      <c r="B26" s="3" t="n">
        <f aca="false">C8</f>
        <v>24.96</v>
      </c>
      <c r="C26" s="12" t="n">
        <f aca="false">B26/B23</f>
        <v>9.98399999999999</v>
      </c>
    </row>
    <row r="27" customFormat="false" ht="15" hidden="false" customHeight="false" outlineLevel="0" collapsed="false">
      <c r="A27" s="2" t="s">
        <v>90</v>
      </c>
      <c r="B27" s="3" t="n">
        <f aca="false">C9</f>
        <v>28.08</v>
      </c>
      <c r="C27" s="12" t="n">
        <f aca="false">B27/B23</f>
        <v>11.232</v>
      </c>
    </row>
    <row r="28" customFormat="false" ht="15" hidden="false" customHeight="false" outlineLevel="0" collapsed="false">
      <c r="A28" s="2" t="s">
        <v>91</v>
      </c>
      <c r="B28" s="3" t="n">
        <f aca="false">C10</f>
        <v>31.2</v>
      </c>
      <c r="C28" s="12" t="n">
        <f aca="false">B28/B23</f>
        <v>12.48</v>
      </c>
    </row>
    <row r="31" customFormat="false" ht="15" hidden="false" customHeight="false" outlineLevel="0" collapsed="false">
      <c r="A31" s="2" t="s">
        <v>98</v>
      </c>
    </row>
    <row r="32" customFormat="false" ht="15" hidden="false" customHeight="false" outlineLevel="0" collapsed="false">
      <c r="A32" s="0" t="s">
        <v>89</v>
      </c>
      <c r="B32" s="2" t="s">
        <v>99</v>
      </c>
    </row>
    <row r="33" customFormat="false" ht="15" hidden="false" customHeight="false" outlineLevel="0" collapsed="false">
      <c r="A33" s="0" t="s">
        <v>90</v>
      </c>
      <c r="B33" s="2" t="s">
        <v>100</v>
      </c>
    </row>
    <row r="34" customFormat="false" ht="15" hidden="false" customHeight="false" outlineLevel="0" collapsed="false">
      <c r="A34" s="0" t="s">
        <v>91</v>
      </c>
      <c r="B34" s="2" t="s">
        <v>101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5"/>
  </cols>
  <sheetData>
    <row r="1" customFormat="false" ht="17.35" hidden="false" customHeight="true" outlineLevel="0" collapsed="false">
      <c r="A1" s="1" t="s">
        <v>102</v>
      </c>
      <c r="B1" s="1"/>
    </row>
    <row r="2" customFormat="false" ht="15" hidden="false" customHeight="false" outlineLevel="0" collapsed="false">
      <c r="A2" s="2" t="s">
        <v>103</v>
      </c>
      <c r="B2" s="2"/>
    </row>
    <row r="4" customFormat="false" ht="15" hidden="false" customHeight="false" outlineLevel="0" collapsed="false">
      <c r="A4" s="2" t="s">
        <v>104</v>
      </c>
      <c r="B4" s="2" t="s">
        <v>105</v>
      </c>
    </row>
    <row r="5" customFormat="false" ht="15" hidden="false" customHeight="false" outlineLevel="0" collapsed="false">
      <c r="A5" s="2" t="s">
        <v>106</v>
      </c>
      <c r="B5" s="2" t="s">
        <v>107</v>
      </c>
    </row>
    <row r="6" customFormat="false" ht="15" hidden="false" customHeight="false" outlineLevel="0" collapsed="false">
      <c r="A6" s="2" t="s">
        <v>108</v>
      </c>
      <c r="B6" s="2" t="s">
        <v>109</v>
      </c>
    </row>
    <row r="7" customFormat="false" ht="15" hidden="false" customHeight="false" outlineLevel="0" collapsed="false">
      <c r="A7" s="2" t="s">
        <v>110</v>
      </c>
      <c r="B7" s="2" t="s">
        <v>111</v>
      </c>
    </row>
    <row r="8" customFormat="false" ht="15" hidden="false" customHeight="false" outlineLevel="0" collapsed="false">
      <c r="A8" s="2" t="s">
        <v>112</v>
      </c>
      <c r="B8" s="2" t="s">
        <v>113</v>
      </c>
    </row>
    <row r="9" customFormat="false" ht="15" hidden="false" customHeight="false" outlineLevel="0" collapsed="false">
      <c r="A9" s="2" t="s">
        <v>114</v>
      </c>
      <c r="B9" s="2" t="s">
        <v>113</v>
      </c>
    </row>
    <row r="10" customFormat="false" ht="15" hidden="false" customHeight="false" outlineLevel="0" collapsed="false">
      <c r="A10" s="2" t="s">
        <v>115</v>
      </c>
      <c r="B10" s="2" t="s">
        <v>116</v>
      </c>
    </row>
    <row r="11" customFormat="false" ht="15" hidden="false" customHeight="false" outlineLevel="0" collapsed="false">
      <c r="A11" s="2" t="s">
        <v>117</v>
      </c>
      <c r="B11" s="2" t="s">
        <v>116</v>
      </c>
    </row>
    <row r="12" customFormat="false" ht="15" hidden="false" customHeight="false" outlineLevel="0" collapsed="false">
      <c r="A12" s="2" t="s">
        <v>118</v>
      </c>
      <c r="B12" s="2" t="s">
        <v>119</v>
      </c>
    </row>
    <row r="14" customFormat="false" ht="15" hidden="false" customHeight="false" outlineLevel="0" collapsed="false">
      <c r="A14" s="2" t="s">
        <v>120</v>
      </c>
      <c r="B14" s="2"/>
    </row>
    <row r="16" customFormat="false" ht="15" hidden="false" customHeight="false" outlineLevel="0" collapsed="false">
      <c r="A16" s="2" t="s">
        <v>121</v>
      </c>
      <c r="B16" s="2" t="s">
        <v>122</v>
      </c>
    </row>
    <row r="17" customFormat="false" ht="15" hidden="false" customHeight="false" outlineLevel="0" collapsed="false">
      <c r="A17" s="2" t="s">
        <v>123</v>
      </c>
      <c r="B17" s="2" t="s">
        <v>124</v>
      </c>
    </row>
    <row r="18" customFormat="false" ht="15" hidden="false" customHeight="false" outlineLevel="0" collapsed="false">
      <c r="A18" s="2" t="s">
        <v>125</v>
      </c>
      <c r="B18" s="2" t="s">
        <v>126</v>
      </c>
    </row>
    <row r="19" customFormat="false" ht="15" hidden="false" customHeight="false" outlineLevel="0" collapsed="false">
      <c r="A19" s="2" t="s">
        <v>127</v>
      </c>
      <c r="B19" s="2" t="s">
        <v>128</v>
      </c>
    </row>
    <row r="20" customFormat="false" ht="15" hidden="false" customHeight="false" outlineLevel="0" collapsed="false">
      <c r="A20" s="2" t="s">
        <v>129</v>
      </c>
      <c r="B20" s="2" t="s">
        <v>130</v>
      </c>
    </row>
    <row r="21" customFormat="false" ht="15" hidden="false" customHeight="false" outlineLevel="0" collapsed="false">
      <c r="A21" s="2" t="s">
        <v>131</v>
      </c>
      <c r="B21" s="2" t="s">
        <v>132</v>
      </c>
    </row>
    <row r="22" customFormat="false" ht="15" hidden="false" customHeight="false" outlineLevel="0" collapsed="false">
      <c r="A22" s="2" t="s">
        <v>133</v>
      </c>
      <c r="B22" s="2" t="s">
        <v>132</v>
      </c>
    </row>
    <row r="23" customFormat="false" ht="15" hidden="false" customHeight="false" outlineLevel="0" collapsed="false">
      <c r="A23" s="2" t="s">
        <v>134</v>
      </c>
      <c r="B23" s="2" t="s">
        <v>135</v>
      </c>
    </row>
    <row r="24" customFormat="false" ht="15" hidden="false" customHeight="false" outlineLevel="0" collapsed="false">
      <c r="A24" s="2" t="s">
        <v>136</v>
      </c>
      <c r="B24" s="2" t="s">
        <v>135</v>
      </c>
    </row>
    <row r="25" customFormat="false" ht="15" hidden="false" customHeight="false" outlineLevel="0" collapsed="false">
      <c r="A25" s="2" t="s">
        <v>137</v>
      </c>
      <c r="B25" s="2" t="s">
        <v>138</v>
      </c>
    </row>
    <row r="26" customFormat="false" ht="15" hidden="false" customHeight="false" outlineLevel="0" collapsed="false">
      <c r="A26" s="2" t="s">
        <v>139</v>
      </c>
      <c r="B26" s="2" t="s">
        <v>140</v>
      </c>
    </row>
    <row r="28" customFormat="false" ht="15" hidden="false" customHeight="false" outlineLevel="0" collapsed="false">
      <c r="A28" s="2" t="s">
        <v>141</v>
      </c>
      <c r="B28" s="2"/>
    </row>
    <row r="30" customFormat="false" ht="15" hidden="false" customHeight="false" outlineLevel="0" collapsed="false">
      <c r="A30" s="2" t="s">
        <v>142</v>
      </c>
      <c r="B30" s="2" t="s">
        <v>143</v>
      </c>
    </row>
    <row r="31" customFormat="false" ht="15" hidden="false" customHeight="false" outlineLevel="0" collapsed="false">
      <c r="A31" s="2" t="s">
        <v>144</v>
      </c>
      <c r="B31" s="2" t="s">
        <v>145</v>
      </c>
    </row>
    <row r="32" customFormat="false" ht="15" hidden="false" customHeight="false" outlineLevel="0" collapsed="false">
      <c r="A32" s="2" t="s">
        <v>146</v>
      </c>
      <c r="B32" s="2" t="s">
        <v>147</v>
      </c>
    </row>
    <row r="33" customFormat="false" ht="15" hidden="false" customHeight="false" outlineLevel="0" collapsed="false">
      <c r="A33" s="2" t="s">
        <v>148</v>
      </c>
      <c r="B33" s="2" t="s">
        <v>149</v>
      </c>
    </row>
    <row r="34" customFormat="false" ht="15" hidden="false" customHeight="false" outlineLevel="0" collapsed="false">
      <c r="A34" s="2" t="s">
        <v>150</v>
      </c>
      <c r="B34" s="2" t="s">
        <v>151</v>
      </c>
    </row>
    <row r="36" customFormat="false" ht="15" hidden="false" customHeight="false" outlineLevel="0" collapsed="false">
      <c r="A36" s="2" t="s">
        <v>152</v>
      </c>
      <c r="B36" s="2"/>
    </row>
    <row r="38" customFormat="false" ht="15" hidden="false" customHeight="false" outlineLevel="0" collapsed="false">
      <c r="A38" s="2" t="s">
        <v>153</v>
      </c>
      <c r="B38" s="2" t="s">
        <v>154</v>
      </c>
    </row>
    <row r="39" customFormat="false" ht="15" hidden="false" customHeight="false" outlineLevel="0" collapsed="false">
      <c r="A39" s="2" t="s">
        <v>155</v>
      </c>
      <c r="B39" s="2" t="s">
        <v>156</v>
      </c>
    </row>
    <row r="40" customFormat="false" ht="15" hidden="false" customHeight="false" outlineLevel="0" collapsed="false">
      <c r="A40" s="2" t="s">
        <v>157</v>
      </c>
      <c r="B40" s="2" t="s">
        <v>158</v>
      </c>
    </row>
    <row r="41" customFormat="false" ht="15" hidden="false" customHeight="false" outlineLevel="0" collapsed="false">
      <c r="A41" s="2" t="s">
        <v>159</v>
      </c>
      <c r="B41" s="2" t="s">
        <v>160</v>
      </c>
    </row>
    <row r="42" customFormat="false" ht="15" hidden="false" customHeight="false" outlineLevel="0" collapsed="false">
      <c r="A42" s="2" t="s">
        <v>161</v>
      </c>
      <c r="B42" s="2" t="s">
        <v>162</v>
      </c>
    </row>
    <row r="44" customFormat="false" ht="15" hidden="false" customHeight="false" outlineLevel="0" collapsed="false">
      <c r="A44" s="2" t="s">
        <v>163</v>
      </c>
      <c r="B44" s="2"/>
    </row>
    <row r="46" customFormat="false" ht="15" hidden="false" customHeight="false" outlineLevel="0" collapsed="false">
      <c r="A46" s="2" t="s">
        <v>164</v>
      </c>
      <c r="B46" s="2" t="s">
        <v>165</v>
      </c>
    </row>
    <row r="47" customFormat="false" ht="15" hidden="false" customHeight="false" outlineLevel="0" collapsed="false">
      <c r="A47" s="2" t="s">
        <v>166</v>
      </c>
      <c r="B47" s="2" t="s">
        <v>167</v>
      </c>
    </row>
    <row r="48" customFormat="false" ht="15" hidden="false" customHeight="false" outlineLevel="0" collapsed="false">
      <c r="A48" s="2" t="s">
        <v>168</v>
      </c>
      <c r="B48" s="2" t="s">
        <v>167</v>
      </c>
    </row>
    <row r="49" customFormat="false" ht="15" hidden="false" customHeight="false" outlineLevel="0" collapsed="false">
      <c r="A49" s="2" t="s">
        <v>169</v>
      </c>
      <c r="B49" s="2" t="s">
        <v>170</v>
      </c>
    </row>
    <row r="51" customFormat="false" ht="15" hidden="false" customHeight="false" outlineLevel="0" collapsed="false">
      <c r="A51" s="2" t="s">
        <v>171</v>
      </c>
      <c r="B51" s="2"/>
    </row>
    <row r="53" customFormat="false" ht="15" hidden="false" customHeight="false" outlineLevel="0" collapsed="false">
      <c r="A53" s="2" t="s">
        <v>172</v>
      </c>
      <c r="B53" s="2" t="s">
        <v>173</v>
      </c>
    </row>
    <row r="54" customFormat="false" ht="15" hidden="false" customHeight="false" outlineLevel="0" collapsed="false">
      <c r="A54" s="2" t="s">
        <v>174</v>
      </c>
      <c r="B54" s="2" t="s">
        <v>175</v>
      </c>
    </row>
    <row r="55" customFormat="false" ht="15" hidden="false" customHeight="false" outlineLevel="0" collapsed="false">
      <c r="A55" s="2" t="s">
        <v>176</v>
      </c>
      <c r="B55" s="2" t="s">
        <v>177</v>
      </c>
    </row>
    <row r="56" customFormat="false" ht="15" hidden="false" customHeight="false" outlineLevel="0" collapsed="false">
      <c r="A56" s="2" t="s">
        <v>178</v>
      </c>
      <c r="B56" s="2" t="s">
        <v>179</v>
      </c>
    </row>
    <row r="57" customFormat="false" ht="15" hidden="false" customHeight="false" outlineLevel="0" collapsed="false">
      <c r="A57" s="2" t="s">
        <v>180</v>
      </c>
      <c r="B57" s="2" t="s">
        <v>181</v>
      </c>
    </row>
    <row r="59" customFormat="false" ht="15" hidden="false" customHeight="false" outlineLevel="0" collapsed="false">
      <c r="A59" s="2" t="s">
        <v>182</v>
      </c>
      <c r="B59" s="2"/>
    </row>
    <row r="61" customFormat="false" ht="15" hidden="false" customHeight="false" outlineLevel="0" collapsed="false">
      <c r="A61" s="2" t="s">
        <v>183</v>
      </c>
      <c r="B61" s="2" t="s">
        <v>184</v>
      </c>
    </row>
    <row r="62" customFormat="false" ht="15" hidden="false" customHeight="false" outlineLevel="0" collapsed="false">
      <c r="A62" s="2" t="s">
        <v>185</v>
      </c>
      <c r="B62" s="2" t="s">
        <v>186</v>
      </c>
    </row>
    <row r="63" customFormat="false" ht="15" hidden="false" customHeight="false" outlineLevel="0" collapsed="false">
      <c r="A63" s="2" t="s">
        <v>187</v>
      </c>
      <c r="B63" s="2" t="s">
        <v>188</v>
      </c>
    </row>
    <row r="64" customFormat="false" ht="15" hidden="false" customHeight="false" outlineLevel="0" collapsed="false">
      <c r="A64" s="2" t="s">
        <v>189</v>
      </c>
      <c r="B64" s="2" t="s">
        <v>190</v>
      </c>
    </row>
    <row r="65" customFormat="false" ht="15" hidden="false" customHeight="false" outlineLevel="0" collapsed="false">
      <c r="A65" s="2" t="s">
        <v>191</v>
      </c>
      <c r="B65" s="2" t="s">
        <v>192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2026-02-28T03:30:05Z</dcterms:created>
  <dc:creator>openpyxl</dc:creator>
  <dc:description/>
  <dc:language>en-US</dc:language>
  <cp:lastModifiedBy/>
  <dcterms:modified xsi:type="dcterms:W3CDTF">2026-02-28T03:30:05Z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