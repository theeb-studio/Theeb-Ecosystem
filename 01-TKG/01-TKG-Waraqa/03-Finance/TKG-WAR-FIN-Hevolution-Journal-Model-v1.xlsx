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د. ذيب\TAP Dropbox\TAP Dropbox\Theeb AlKahtani\04 WARAQA\00 Publishing House\Agreements\01 Societies\04 Hevoluation\"/>
    </mc:Choice>
  </mc:AlternateContent>
  <xr:revisionPtr revIDLastSave="0" documentId="8_{9F2821AF-1C4F-4FA3-AD00-9525EC1353D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put" sheetId="1" r:id="rId1"/>
    <sheet name="Revenues" sheetId="4" r:id="rId2"/>
    <sheet name="Manpower" sheetId="5" r:id="rId3"/>
    <sheet name="Costs" sheetId="6" r:id="rId4"/>
    <sheet name="Capex &amp; Dep" sheetId="7" r:id="rId5"/>
    <sheet name="Working Capital" sheetId="8" r:id="rId6"/>
    <sheet name="Financial Statements" sheetId="10" r:id="rId7"/>
  </sheets>
  <externalReferences>
    <externalReference r:id="rId8"/>
  </externalReferences>
  <definedNames>
    <definedName name="_inflation">[1]Assumptions!$C$118</definedName>
    <definedName name="day_in_year">Input!$C$100</definedName>
    <definedName name="Depreciation_T">[1]Assumptions!$C$116</definedName>
    <definedName name="start_year">Input!$C$4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C86" i="1"/>
  <c r="C63" i="1"/>
  <c r="D55" i="1"/>
  <c r="C55" i="1"/>
  <c r="C106" i="1"/>
  <c r="C67" i="1"/>
  <c r="C66" i="1"/>
  <c r="C65" i="1"/>
  <c r="C74" i="1"/>
  <c r="C73" i="1"/>
  <c r="C112" i="1"/>
  <c r="B23" i="1" l="1"/>
  <c r="B19" i="1"/>
  <c r="B15" i="1"/>
  <c r="B11" i="1"/>
  <c r="I50" i="1"/>
  <c r="I51" i="1"/>
  <c r="I53" i="1"/>
  <c r="I55" i="1"/>
  <c r="I56" i="1"/>
  <c r="I57" i="1"/>
  <c r="I49" i="1"/>
  <c r="B52" i="1"/>
  <c r="D50" i="1"/>
  <c r="D51" i="1"/>
  <c r="D53" i="1"/>
  <c r="D56" i="1"/>
  <c r="D57" i="1"/>
  <c r="C51" i="1"/>
  <c r="C49" i="1"/>
  <c r="C50" i="1"/>
  <c r="C53" i="1"/>
  <c r="C56" i="1"/>
  <c r="C57" i="1"/>
  <c r="D49" i="1"/>
  <c r="B48" i="1"/>
  <c r="B49" i="1"/>
  <c r="B50" i="1"/>
  <c r="B51" i="1"/>
  <c r="B53" i="1"/>
  <c r="B54" i="1"/>
  <c r="B55" i="1"/>
  <c r="B56" i="1"/>
  <c r="B57" i="1"/>
  <c r="B114" i="1"/>
  <c r="B115" i="1"/>
  <c r="B112" i="1"/>
  <c r="B109" i="1"/>
  <c r="C78" i="1"/>
  <c r="C114" i="1"/>
  <c r="C98" i="10"/>
  <c r="C99" i="10" s="1"/>
  <c r="C83" i="10"/>
  <c r="C87" i="10" s="1"/>
  <c r="C79" i="10"/>
  <c r="C78" i="10" s="1"/>
  <c r="D52" i="10"/>
  <c r="E52" i="10"/>
  <c r="F52" i="10"/>
  <c r="G52" i="10"/>
  <c r="H52" i="10"/>
  <c r="I52" i="10"/>
  <c r="C52" i="10"/>
  <c r="I51" i="10"/>
  <c r="I7" i="7"/>
  <c r="C5" i="7"/>
  <c r="C42" i="10"/>
  <c r="C85" i="1"/>
  <c r="D85" i="1"/>
  <c r="C72" i="1"/>
  <c r="D72" i="1"/>
  <c r="E51" i="1" l="1"/>
  <c r="D98" i="10" l="1"/>
  <c r="D99" i="10" s="1"/>
  <c r="D28" i="10" s="1"/>
  <c r="I53" i="10" l="1"/>
  <c r="I54" i="10" s="1"/>
  <c r="H53" i="10"/>
  <c r="D65" i="10"/>
  <c r="G53" i="10"/>
  <c r="F53" i="10"/>
  <c r="E53" i="10"/>
  <c r="D53" i="10"/>
  <c r="B52" i="10"/>
  <c r="B51" i="10"/>
  <c r="D37" i="10"/>
  <c r="E37" i="10" s="1"/>
  <c r="F37" i="10" s="1"/>
  <c r="G37" i="10" s="1"/>
  <c r="H37" i="10" s="1"/>
  <c r="I37" i="10" s="1"/>
  <c r="D5" i="10"/>
  <c r="E5" i="10" s="1"/>
  <c r="F5" i="10" s="1"/>
  <c r="G5" i="10" s="1"/>
  <c r="H5" i="10" s="1"/>
  <c r="I5" i="10" s="1"/>
  <c r="C4" i="8"/>
  <c r="D4" i="8" s="1"/>
  <c r="E4" i="8" s="1"/>
  <c r="F4" i="8" s="1"/>
  <c r="G4" i="8" s="1"/>
  <c r="H4" i="8" s="1"/>
  <c r="D76" i="1"/>
  <c r="D7" i="7" s="1"/>
  <c r="D45" i="10" s="1"/>
  <c r="D46" i="10" s="1"/>
  <c r="E76" i="1"/>
  <c r="E7" i="7" s="1"/>
  <c r="E45" i="10" s="1"/>
  <c r="E46" i="10" s="1"/>
  <c r="F76" i="1"/>
  <c r="F7" i="7" s="1"/>
  <c r="F45" i="10" s="1"/>
  <c r="F46" i="10" s="1"/>
  <c r="G76" i="1"/>
  <c r="G7" i="7" s="1"/>
  <c r="G45" i="10" s="1"/>
  <c r="G46" i="10" s="1"/>
  <c r="H76" i="1"/>
  <c r="H7" i="7" s="1"/>
  <c r="H45" i="10" s="1"/>
  <c r="H46" i="10" s="1"/>
  <c r="I45" i="10"/>
  <c r="I46" i="10" s="1"/>
  <c r="C76" i="1"/>
  <c r="D5" i="7"/>
  <c r="E5" i="7" s="1"/>
  <c r="F5" i="7" s="1"/>
  <c r="G5" i="7" s="1"/>
  <c r="H5" i="7" s="1"/>
  <c r="I5" i="7" s="1"/>
  <c r="D50" i="5"/>
  <c r="E50" i="5"/>
  <c r="F50" i="5"/>
  <c r="G50" i="5"/>
  <c r="H50" i="5"/>
  <c r="D46" i="5"/>
  <c r="E46" i="5"/>
  <c r="F46" i="5"/>
  <c r="G46" i="5"/>
  <c r="H46" i="5"/>
  <c r="D42" i="5"/>
  <c r="E42" i="5"/>
  <c r="F42" i="5"/>
  <c r="G42" i="5"/>
  <c r="H42" i="5"/>
  <c r="B49" i="5"/>
  <c r="B45" i="5"/>
  <c r="B41" i="5"/>
  <c r="D28" i="5"/>
  <c r="D32" i="5" s="1"/>
  <c r="D35" i="5" s="1"/>
  <c r="E28" i="5"/>
  <c r="E32" i="5" s="1"/>
  <c r="E35" i="5" s="1"/>
  <c r="F28" i="5"/>
  <c r="F32" i="5" s="1"/>
  <c r="F35" i="5" s="1"/>
  <c r="G28" i="5"/>
  <c r="G32" i="5" s="1"/>
  <c r="G35" i="5" s="1"/>
  <c r="H28" i="5"/>
  <c r="H32" i="5" s="1"/>
  <c r="H35" i="5" s="1"/>
  <c r="C28" i="5"/>
  <c r="C32" i="5" s="1"/>
  <c r="E57" i="1"/>
  <c r="D10" i="5"/>
  <c r="E10" i="5"/>
  <c r="F10" i="5"/>
  <c r="G10" i="5"/>
  <c r="H10" i="5"/>
  <c r="D14" i="5"/>
  <c r="E14" i="5"/>
  <c r="F14" i="5"/>
  <c r="G14" i="5"/>
  <c r="H14" i="5"/>
  <c r="C14" i="5"/>
  <c r="B27" i="5"/>
  <c r="C25" i="5"/>
  <c r="D25" i="5" s="1"/>
  <c r="B13" i="5"/>
  <c r="B9" i="5"/>
  <c r="C6" i="6"/>
  <c r="C50" i="5"/>
  <c r="C46" i="5"/>
  <c r="C42" i="5"/>
  <c r="B5" i="5"/>
  <c r="C10" i="5"/>
  <c r="D6" i="5"/>
  <c r="E6" i="5"/>
  <c r="F6" i="5"/>
  <c r="G6" i="5"/>
  <c r="H6" i="5"/>
  <c r="C6" i="5"/>
  <c r="C34" i="1"/>
  <c r="D34" i="1" s="1"/>
  <c r="E34" i="1" s="1"/>
  <c r="F34" i="1" s="1"/>
  <c r="G34" i="1" s="1"/>
  <c r="H34" i="1" s="1"/>
  <c r="C39" i="5"/>
  <c r="D39" i="5" s="1"/>
  <c r="C3" i="5"/>
  <c r="D3" i="5" s="1"/>
  <c r="B6" i="4"/>
  <c r="C5" i="4"/>
  <c r="D5" i="4" s="1"/>
  <c r="E5" i="4" s="1"/>
  <c r="F5" i="4" s="1"/>
  <c r="G5" i="4" s="1"/>
  <c r="H5" i="4" s="1"/>
  <c r="C111" i="1"/>
  <c r="C108" i="1"/>
  <c r="C105" i="1"/>
  <c r="C27" i="1"/>
  <c r="D27" i="1" s="1"/>
  <c r="E27" i="1" s="1"/>
  <c r="F27" i="1" s="1"/>
  <c r="G27" i="1" s="1"/>
  <c r="H27" i="1" s="1"/>
  <c r="C22" i="1"/>
  <c r="C23" i="1" s="1"/>
  <c r="C18" i="1"/>
  <c r="C14" i="1"/>
  <c r="C15" i="1" s="1"/>
  <c r="C10" i="1"/>
  <c r="C11" i="1" s="1"/>
  <c r="E72" i="1"/>
  <c r="F72" i="1" s="1"/>
  <c r="G72" i="1" s="1"/>
  <c r="H72" i="1" s="1"/>
  <c r="E85" i="1"/>
  <c r="F85" i="1" s="1"/>
  <c r="G85" i="1" s="1"/>
  <c r="H85" i="1" s="1"/>
  <c r="E50" i="1"/>
  <c r="E53" i="1"/>
  <c r="E55" i="1"/>
  <c r="E56" i="1"/>
  <c r="E49" i="1"/>
  <c r="H54" i="5" l="1"/>
  <c r="H57" i="5" s="1"/>
  <c r="G54" i="5"/>
  <c r="G57" i="5" s="1"/>
  <c r="F54" i="5"/>
  <c r="F57" i="5" s="1"/>
  <c r="E54" i="5"/>
  <c r="E57" i="5" s="1"/>
  <c r="D54" i="5"/>
  <c r="D57" i="5" s="1"/>
  <c r="C54" i="5"/>
  <c r="C57" i="5" s="1"/>
  <c r="H18" i="5"/>
  <c r="G18" i="5"/>
  <c r="E18" i="5"/>
  <c r="F18" i="5"/>
  <c r="D18" i="5"/>
  <c r="C18" i="5"/>
  <c r="C21" i="5" s="1"/>
  <c r="C7" i="7"/>
  <c r="F8" i="7" s="1"/>
  <c r="C79" i="1"/>
  <c r="D10" i="1"/>
  <c r="E10" i="1" s="1"/>
  <c r="C11" i="5"/>
  <c r="C12" i="5" s="1"/>
  <c r="C19" i="1"/>
  <c r="C21" i="6" s="1"/>
  <c r="C15" i="5"/>
  <c r="C16" i="5" s="1"/>
  <c r="C47" i="5"/>
  <c r="C48" i="5" s="1"/>
  <c r="C51" i="5"/>
  <c r="C52" i="5" s="1"/>
  <c r="D43" i="5"/>
  <c r="D44" i="5" s="1"/>
  <c r="D14" i="1"/>
  <c r="C35" i="5"/>
  <c r="C29" i="5"/>
  <c r="C30" i="5" s="1"/>
  <c r="D18" i="1"/>
  <c r="D19" i="1" s="1"/>
  <c r="D22" i="1"/>
  <c r="C16" i="6"/>
  <c r="C14" i="6"/>
  <c r="C7" i="5"/>
  <c r="C6" i="4"/>
  <c r="D79" i="10"/>
  <c r="C43" i="5"/>
  <c r="C44" i="5" s="1"/>
  <c r="D15" i="5"/>
  <c r="D16" i="5" s="1"/>
  <c r="D11" i="5"/>
  <c r="D12" i="5" s="1"/>
  <c r="D7" i="5"/>
  <c r="E3" i="5"/>
  <c r="D29" i="5"/>
  <c r="D30" i="5" s="1"/>
  <c r="E25" i="5"/>
  <c r="D92" i="10"/>
  <c r="E65" i="10"/>
  <c r="C15" i="6"/>
  <c r="D47" i="5"/>
  <c r="D48" i="5" s="1"/>
  <c r="E39" i="5"/>
  <c r="D51" i="5"/>
  <c r="D52" i="5" s="1"/>
  <c r="D6" i="6"/>
  <c r="D55" i="5" l="1"/>
  <c r="D22" i="6" s="1"/>
  <c r="D58" i="5"/>
  <c r="C58" i="5"/>
  <c r="C55" i="5"/>
  <c r="C22" i="6" s="1"/>
  <c r="D33" i="5"/>
  <c r="D13" i="6" s="1"/>
  <c r="D36" i="5"/>
  <c r="C36" i="5"/>
  <c r="C33" i="5"/>
  <c r="C13" i="6" s="1"/>
  <c r="C8" i="5"/>
  <c r="C19" i="5" s="1"/>
  <c r="C22" i="5"/>
  <c r="D22" i="5"/>
  <c r="E11" i="1"/>
  <c r="F10" i="1"/>
  <c r="G8" i="7"/>
  <c r="H8" i="7"/>
  <c r="D11" i="1"/>
  <c r="E8" i="7"/>
  <c r="C8" i="7"/>
  <c r="C10" i="7" s="1"/>
  <c r="C13" i="7" s="1"/>
  <c r="C67" i="10" s="1"/>
  <c r="D8" i="7"/>
  <c r="C45" i="10"/>
  <c r="C46" i="10" s="1"/>
  <c r="I8" i="7"/>
  <c r="H61" i="5"/>
  <c r="D78" i="10"/>
  <c r="D18" i="10"/>
  <c r="E61" i="5"/>
  <c r="G61" i="5"/>
  <c r="F61" i="5"/>
  <c r="E18" i="1"/>
  <c r="D23" i="1"/>
  <c r="D21" i="6" s="1"/>
  <c r="D21" i="5"/>
  <c r="D61" i="5"/>
  <c r="E14" i="1"/>
  <c r="D15" i="1"/>
  <c r="C61" i="5"/>
  <c r="E22" i="1"/>
  <c r="F21" i="5"/>
  <c r="H21" i="5"/>
  <c r="E79" i="10"/>
  <c r="E18" i="10" s="1"/>
  <c r="G21" i="5"/>
  <c r="E21" i="5"/>
  <c r="C8" i="6"/>
  <c r="E47" i="5"/>
  <c r="E48" i="5" s="1"/>
  <c r="F39" i="5"/>
  <c r="E51" i="5"/>
  <c r="E52" i="5" s="1"/>
  <c r="E43" i="5"/>
  <c r="E44" i="5" s="1"/>
  <c r="F25" i="5"/>
  <c r="D8" i="5"/>
  <c r="D19" i="5" s="1"/>
  <c r="E29" i="5"/>
  <c r="E30" i="5" s="1"/>
  <c r="E11" i="5"/>
  <c r="E12" i="5" s="1"/>
  <c r="E15" i="5"/>
  <c r="E16" i="5" s="1"/>
  <c r="F3" i="5"/>
  <c r="E7" i="5"/>
  <c r="E6" i="6"/>
  <c r="D16" i="6"/>
  <c r="D14" i="6"/>
  <c r="D15" i="6"/>
  <c r="E92" i="10"/>
  <c r="F65" i="10"/>
  <c r="E58" i="5" l="1"/>
  <c r="E55" i="5"/>
  <c r="E22" i="6" s="1"/>
  <c r="D9" i="6"/>
  <c r="H9" i="6"/>
  <c r="G9" i="6"/>
  <c r="F9" i="6"/>
  <c r="C9" i="6"/>
  <c r="C10" i="6" s="1"/>
  <c r="C5" i="8" s="1"/>
  <c r="E9" i="6"/>
  <c r="E22" i="5"/>
  <c r="E36" i="5"/>
  <c r="E33" i="5"/>
  <c r="E13" i="6" s="1"/>
  <c r="E19" i="1"/>
  <c r="D6" i="4"/>
  <c r="D8" i="4" s="1"/>
  <c r="D17" i="6" s="1"/>
  <c r="D18" i="6" s="1"/>
  <c r="G10" i="1"/>
  <c r="H10" i="1" s="1"/>
  <c r="H11" i="1" s="1"/>
  <c r="F11" i="1"/>
  <c r="D10" i="7"/>
  <c r="F12" i="7" s="1"/>
  <c r="F22" i="10" s="1"/>
  <c r="C8" i="4"/>
  <c r="C17" i="6" s="1"/>
  <c r="C18" i="6" s="1"/>
  <c r="D17" i="10" s="1"/>
  <c r="F18" i="1"/>
  <c r="F19" i="1" s="1"/>
  <c r="C24" i="6"/>
  <c r="D10" i="10" s="1"/>
  <c r="F14" i="1"/>
  <c r="E15" i="1"/>
  <c r="E6" i="4" s="1"/>
  <c r="E23" i="1"/>
  <c r="E21" i="6" s="1"/>
  <c r="F22" i="1"/>
  <c r="F79" i="10"/>
  <c r="F18" i="10" s="1"/>
  <c r="E78" i="10"/>
  <c r="E94" i="10" s="1"/>
  <c r="C62" i="5"/>
  <c r="F92" i="10"/>
  <c r="G65" i="10"/>
  <c r="E8" i="5"/>
  <c r="E19" i="5" s="1"/>
  <c r="D8" i="6"/>
  <c r="D62" i="5"/>
  <c r="F51" i="5"/>
  <c r="F52" i="5" s="1"/>
  <c r="G39" i="5"/>
  <c r="F47" i="5"/>
  <c r="F48" i="5" s="1"/>
  <c r="F43" i="5"/>
  <c r="F44" i="5" s="1"/>
  <c r="F6" i="6"/>
  <c r="E15" i="6"/>
  <c r="E14" i="6"/>
  <c r="E16" i="6"/>
  <c r="F29" i="5"/>
  <c r="F30" i="5" s="1"/>
  <c r="F11" i="5"/>
  <c r="F12" i="5" s="1"/>
  <c r="F15" i="5"/>
  <c r="F16" i="5" s="1"/>
  <c r="G3" i="5"/>
  <c r="F7" i="5"/>
  <c r="G25" i="5"/>
  <c r="F22" i="5" l="1"/>
  <c r="F58" i="5"/>
  <c r="F55" i="5"/>
  <c r="F22" i="6" s="1"/>
  <c r="F36" i="5"/>
  <c r="F33" i="5"/>
  <c r="F13" i="6" s="1"/>
  <c r="I12" i="7"/>
  <c r="I22" i="10" s="1"/>
  <c r="I23" i="10" s="1"/>
  <c r="G11" i="1"/>
  <c r="E12" i="7"/>
  <c r="E22" i="10" s="1"/>
  <c r="E40" i="10" s="1"/>
  <c r="H12" i="7"/>
  <c r="H22" i="10" s="1"/>
  <c r="H40" i="10" s="1"/>
  <c r="G12" i="7"/>
  <c r="G22" i="10" s="1"/>
  <c r="G40" i="10" s="1"/>
  <c r="D12" i="7"/>
  <c r="D22" i="10" s="1"/>
  <c r="D40" i="10" s="1"/>
  <c r="D24" i="6"/>
  <c r="D9" i="8" s="1"/>
  <c r="E71" i="10" s="1"/>
  <c r="C9" i="8"/>
  <c r="D71" i="10" s="1"/>
  <c r="D7" i="10"/>
  <c r="D8" i="10" s="1"/>
  <c r="D12" i="10" s="1"/>
  <c r="D13" i="10" s="1"/>
  <c r="C10" i="8"/>
  <c r="D70" i="10" s="1"/>
  <c r="E7" i="10"/>
  <c r="E8" i="10" s="1"/>
  <c r="G18" i="1"/>
  <c r="G19" i="1" s="1"/>
  <c r="E24" i="6"/>
  <c r="D10" i="8"/>
  <c r="E70" i="10" s="1"/>
  <c r="C7" i="8"/>
  <c r="C6" i="8"/>
  <c r="E8" i="4"/>
  <c r="F15" i="1"/>
  <c r="F6" i="4" s="1"/>
  <c r="G14" i="1"/>
  <c r="F23" i="1"/>
  <c r="F21" i="6" s="1"/>
  <c r="G22" i="1"/>
  <c r="G79" i="10"/>
  <c r="G18" i="10" s="1"/>
  <c r="F78" i="10"/>
  <c r="F94" i="10" s="1"/>
  <c r="D10" i="6"/>
  <c r="D5" i="8" s="1"/>
  <c r="C26" i="6"/>
  <c r="D16" i="10"/>
  <c r="F40" i="10"/>
  <c r="F23" i="10"/>
  <c r="G92" i="10"/>
  <c r="H65" i="10"/>
  <c r="G6" i="6"/>
  <c r="F16" i="6"/>
  <c r="F14" i="6"/>
  <c r="F15" i="6"/>
  <c r="H25" i="5"/>
  <c r="H39" i="5"/>
  <c r="G51" i="5"/>
  <c r="G52" i="5" s="1"/>
  <c r="G47" i="5"/>
  <c r="G48" i="5" s="1"/>
  <c r="G43" i="5"/>
  <c r="G44" i="5" s="1"/>
  <c r="F8" i="5"/>
  <c r="F19" i="5" s="1"/>
  <c r="G15" i="5"/>
  <c r="G16" i="5" s="1"/>
  <c r="G11" i="5"/>
  <c r="G12" i="5" s="1"/>
  <c r="G7" i="5"/>
  <c r="G29" i="5"/>
  <c r="G30" i="5" s="1"/>
  <c r="H3" i="5"/>
  <c r="E8" i="6"/>
  <c r="E62" i="5"/>
  <c r="E17" i="10"/>
  <c r="D6" i="8"/>
  <c r="G58" i="5" l="1"/>
  <c r="G55" i="5"/>
  <c r="G22" i="6" s="1"/>
  <c r="G36" i="5"/>
  <c r="G33" i="5"/>
  <c r="G13" i="6" s="1"/>
  <c r="G22" i="5"/>
  <c r="H23" i="10"/>
  <c r="I40" i="10"/>
  <c r="E23" i="10"/>
  <c r="D7" i="8"/>
  <c r="D8" i="8" s="1"/>
  <c r="D12" i="8" s="1"/>
  <c r="D23" i="10"/>
  <c r="G23" i="10"/>
  <c r="D13" i="7"/>
  <c r="E10" i="7" s="1"/>
  <c r="E13" i="7" s="1"/>
  <c r="E67" i="10" s="1"/>
  <c r="E97" i="10" s="1"/>
  <c r="E10" i="10"/>
  <c r="E12" i="10" s="1"/>
  <c r="E13" i="10" s="1"/>
  <c r="H18" i="1"/>
  <c r="C8" i="8"/>
  <c r="D76" i="10" s="1"/>
  <c r="D19" i="10"/>
  <c r="D20" i="10" s="1"/>
  <c r="H14" i="1"/>
  <c r="G15" i="1"/>
  <c r="G6" i="4" s="1"/>
  <c r="F8" i="4"/>
  <c r="F7" i="10"/>
  <c r="F8" i="10" s="1"/>
  <c r="E10" i="8"/>
  <c r="F70" i="10" s="1"/>
  <c r="E17" i="6"/>
  <c r="E18" i="6" s="1"/>
  <c r="E6" i="8" s="1"/>
  <c r="G23" i="1"/>
  <c r="G21" i="6" s="1"/>
  <c r="H22" i="1"/>
  <c r="H79" i="10"/>
  <c r="H18" i="10" s="1"/>
  <c r="G78" i="10"/>
  <c r="G94" i="10" s="1"/>
  <c r="E16" i="10"/>
  <c r="D26" i="6"/>
  <c r="D51" i="10" s="1"/>
  <c r="E10" i="6"/>
  <c r="F16" i="10" s="1"/>
  <c r="F62" i="5"/>
  <c r="F8" i="6"/>
  <c r="H47" i="5"/>
  <c r="H48" i="5" s="1"/>
  <c r="H51" i="5"/>
  <c r="H52" i="5" s="1"/>
  <c r="H43" i="5"/>
  <c r="H44" i="5" s="1"/>
  <c r="E7" i="8"/>
  <c r="F10" i="10"/>
  <c r="E9" i="8"/>
  <c r="F71" i="10" s="1"/>
  <c r="H6" i="6"/>
  <c r="G16" i="6"/>
  <c r="G15" i="6"/>
  <c r="G14" i="6"/>
  <c r="H92" i="10"/>
  <c r="I65" i="10"/>
  <c r="I92" i="10" s="1"/>
  <c r="H15" i="5"/>
  <c r="H16" i="5" s="1"/>
  <c r="H11" i="5"/>
  <c r="H12" i="5" s="1"/>
  <c r="H7" i="5"/>
  <c r="H29" i="5"/>
  <c r="H30" i="5" s="1"/>
  <c r="G8" i="5"/>
  <c r="G19" i="5" s="1"/>
  <c r="D54" i="10" l="1"/>
  <c r="H55" i="5"/>
  <c r="H22" i="6" s="1"/>
  <c r="H58" i="5"/>
  <c r="H36" i="5"/>
  <c r="H33" i="5"/>
  <c r="H13" i="6" s="1"/>
  <c r="H22" i="5"/>
  <c r="H19" i="1"/>
  <c r="E19" i="10"/>
  <c r="E20" i="10" s="1"/>
  <c r="F10" i="7"/>
  <c r="F13" i="7" s="1"/>
  <c r="F67" i="10" s="1"/>
  <c r="F97" i="10" s="1"/>
  <c r="D67" i="10"/>
  <c r="G24" i="6"/>
  <c r="F24" i="6"/>
  <c r="F7" i="8" s="1"/>
  <c r="C12" i="8"/>
  <c r="C13" i="8" s="1"/>
  <c r="D41" i="10" s="1"/>
  <c r="F12" i="10"/>
  <c r="F13" i="10" s="1"/>
  <c r="D25" i="10"/>
  <c r="D26" i="10" s="1"/>
  <c r="F17" i="10"/>
  <c r="G8" i="4"/>
  <c r="H7" i="10" s="1"/>
  <c r="H8" i="10" s="1"/>
  <c r="G7" i="10"/>
  <c r="G8" i="10" s="1"/>
  <c r="F17" i="6"/>
  <c r="F18" i="6" s="1"/>
  <c r="F6" i="8" s="1"/>
  <c r="F10" i="8"/>
  <c r="G70" i="10" s="1"/>
  <c r="H15" i="1"/>
  <c r="H6" i="4" s="1"/>
  <c r="H23" i="1"/>
  <c r="E76" i="10"/>
  <c r="I79" i="10"/>
  <c r="H78" i="10"/>
  <c r="H94" i="10" s="1"/>
  <c r="E5" i="8"/>
  <c r="E8" i="8" s="1"/>
  <c r="F76" i="10" s="1"/>
  <c r="E26" i="6"/>
  <c r="E51" i="10" s="1"/>
  <c r="E54" i="10" s="1"/>
  <c r="G8" i="6"/>
  <c r="G62" i="5"/>
  <c r="H14" i="6"/>
  <c r="H16" i="6"/>
  <c r="H15" i="6"/>
  <c r="H8" i="5"/>
  <c r="H19" i="5" s="1"/>
  <c r="D15" i="8"/>
  <c r="F10" i="6"/>
  <c r="H21" i="6" l="1"/>
  <c r="H24" i="6" s="1"/>
  <c r="G10" i="7"/>
  <c r="G13" i="7" s="1"/>
  <c r="H10" i="7" s="1"/>
  <c r="H13" i="7" s="1"/>
  <c r="E25" i="10"/>
  <c r="E95" i="10" s="1"/>
  <c r="G10" i="10"/>
  <c r="G12" i="10" s="1"/>
  <c r="G13" i="10" s="1"/>
  <c r="F9" i="8"/>
  <c r="G71" i="10" s="1"/>
  <c r="D13" i="8"/>
  <c r="E41" i="10" s="1"/>
  <c r="C80" i="1"/>
  <c r="C81" i="1" s="1"/>
  <c r="F19" i="10"/>
  <c r="F20" i="10" s="1"/>
  <c r="I78" i="10"/>
  <c r="I94" i="10" s="1"/>
  <c r="I18" i="10"/>
  <c r="D31" i="10"/>
  <c r="D39" i="10" s="1"/>
  <c r="D42" i="10" s="1"/>
  <c r="G17" i="6"/>
  <c r="G18" i="6" s="1"/>
  <c r="G6" i="8" s="1"/>
  <c r="H8" i="4"/>
  <c r="H10" i="8" s="1"/>
  <c r="I70" i="10" s="1"/>
  <c r="G10" i="8"/>
  <c r="H70" i="10" s="1"/>
  <c r="G17" i="10"/>
  <c r="E12" i="8"/>
  <c r="E15" i="8" s="1"/>
  <c r="H8" i="6"/>
  <c r="H62" i="5"/>
  <c r="H10" i="10"/>
  <c r="H12" i="10" s="1"/>
  <c r="G9" i="8"/>
  <c r="H71" i="10" s="1"/>
  <c r="G7" i="8"/>
  <c r="G10" i="6"/>
  <c r="F26" i="6"/>
  <c r="F51" i="10" s="1"/>
  <c r="F54" i="10" s="1"/>
  <c r="G16" i="10"/>
  <c r="F5" i="8"/>
  <c r="F8" i="8" s="1"/>
  <c r="C51" i="10" l="1"/>
  <c r="G67" i="10"/>
  <c r="G97" i="10" s="1"/>
  <c r="E26" i="10"/>
  <c r="F25" i="10"/>
  <c r="F95" i="10" s="1"/>
  <c r="D32" i="10"/>
  <c r="D83" i="10"/>
  <c r="D87" i="10" s="1"/>
  <c r="D56" i="10"/>
  <c r="G19" i="10"/>
  <c r="G20" i="10" s="1"/>
  <c r="H17" i="10"/>
  <c r="H17" i="6"/>
  <c r="H18" i="6" s="1"/>
  <c r="I17" i="10" s="1"/>
  <c r="I7" i="10"/>
  <c r="I8" i="10" s="1"/>
  <c r="E13" i="8"/>
  <c r="F41" i="10" s="1"/>
  <c r="I10" i="7"/>
  <c r="I13" i="7" s="1"/>
  <c r="I67" i="10" s="1"/>
  <c r="I97" i="10" s="1"/>
  <c r="H67" i="10"/>
  <c r="H97" i="10" s="1"/>
  <c r="G26" i="6"/>
  <c r="G51" i="10" s="1"/>
  <c r="G54" i="10" s="1"/>
  <c r="G5" i="8"/>
  <c r="G8" i="8" s="1"/>
  <c r="H16" i="10"/>
  <c r="H13" i="10"/>
  <c r="H10" i="6"/>
  <c r="G76" i="10"/>
  <c r="F12" i="8"/>
  <c r="I10" i="10"/>
  <c r="H7" i="8"/>
  <c r="H9" i="8"/>
  <c r="I71" i="10" s="1"/>
  <c r="C82" i="10" l="1"/>
  <c r="C81" i="10" s="1"/>
  <c r="C54" i="10"/>
  <c r="C56" i="10" s="1"/>
  <c r="C60" i="10" s="1"/>
  <c r="D62" i="10" s="1"/>
  <c r="F26" i="10"/>
  <c r="H19" i="10"/>
  <c r="H20" i="10" s="1"/>
  <c r="G25" i="10"/>
  <c r="G95" i="10" s="1"/>
  <c r="H6" i="8"/>
  <c r="I12" i="10"/>
  <c r="I13" i="10" s="1"/>
  <c r="H76" i="10"/>
  <c r="G12" i="8"/>
  <c r="H5" i="8"/>
  <c r="I16" i="10"/>
  <c r="H26" i="6"/>
  <c r="F15" i="8"/>
  <c r="F13" i="8"/>
  <c r="G41" i="10" s="1"/>
  <c r="D82" i="10" l="1"/>
  <c r="E82" i="10" s="1"/>
  <c r="F82" i="10" s="1"/>
  <c r="G82" i="10" s="1"/>
  <c r="D59" i="10"/>
  <c r="D60" i="10" s="1"/>
  <c r="E59" i="10" s="1"/>
  <c r="C75" i="10"/>
  <c r="C74" i="10" s="1"/>
  <c r="C69" i="10"/>
  <c r="C68" i="10" s="1"/>
  <c r="I26" i="6"/>
  <c r="H51" i="10"/>
  <c r="H54" i="10" s="1"/>
  <c r="H25" i="10"/>
  <c r="H95" i="10" s="1"/>
  <c r="G26" i="10"/>
  <c r="H8" i="8"/>
  <c r="I76" i="10" s="1"/>
  <c r="I19" i="10"/>
  <c r="I20" i="10" s="1"/>
  <c r="G15" i="8"/>
  <c r="G13" i="8"/>
  <c r="H41" i="10" s="1"/>
  <c r="D81" i="10" l="1"/>
  <c r="E93" i="10" s="1"/>
  <c r="E98" i="10" s="1"/>
  <c r="E99" i="10" s="1"/>
  <c r="E28" i="10" s="1"/>
  <c r="E31" i="10" s="1"/>
  <c r="E83" i="10" s="1"/>
  <c r="E81" i="10" s="1"/>
  <c r="F93" i="10" s="1"/>
  <c r="F98" i="10" s="1"/>
  <c r="F99" i="10" s="1"/>
  <c r="F28" i="10" s="1"/>
  <c r="F31" i="10" s="1"/>
  <c r="F83" i="10" s="1"/>
  <c r="F81" i="10" s="1"/>
  <c r="G93" i="10" s="1"/>
  <c r="G98" i="10" s="1"/>
  <c r="G99" i="10" s="1"/>
  <c r="G28" i="10" s="1"/>
  <c r="G31" i="10" s="1"/>
  <c r="G39" i="10" s="1"/>
  <c r="G42" i="10" s="1"/>
  <c r="D69" i="10"/>
  <c r="D68" i="10" s="1"/>
  <c r="D75" i="10"/>
  <c r="D74" i="10" s="1"/>
  <c r="C86" i="10"/>
  <c r="C88" i="10"/>
  <c r="H82" i="10"/>
  <c r="I82" i="10" s="1"/>
  <c r="H26" i="10"/>
  <c r="H12" i="8"/>
  <c r="H15" i="8" s="1"/>
  <c r="I25" i="10"/>
  <c r="I95" i="10" s="1"/>
  <c r="E32" i="10" l="1"/>
  <c r="E87" i="10"/>
  <c r="E39" i="10"/>
  <c r="E42" i="10" s="1"/>
  <c r="E62" i="10" s="1"/>
  <c r="G32" i="10"/>
  <c r="G83" i="10"/>
  <c r="G81" i="10" s="1"/>
  <c r="H93" i="10" s="1"/>
  <c r="H98" i="10" s="1"/>
  <c r="H99" i="10" s="1"/>
  <c r="H28" i="10" s="1"/>
  <c r="H31" i="10" s="1"/>
  <c r="H83" i="10" s="1"/>
  <c r="D86" i="10"/>
  <c r="F39" i="10"/>
  <c r="F42" i="10" s="1"/>
  <c r="F56" i="10" s="1"/>
  <c r="F87" i="10"/>
  <c r="F32" i="10"/>
  <c r="D88" i="10"/>
  <c r="H13" i="8"/>
  <c r="I41" i="10" s="1"/>
  <c r="I26" i="10"/>
  <c r="G56" i="10"/>
  <c r="G62" i="10"/>
  <c r="E56" i="10" l="1"/>
  <c r="E60" i="10" s="1"/>
  <c r="F59" i="10" s="1"/>
  <c r="F60" i="10" s="1"/>
  <c r="G87" i="10"/>
  <c r="F62" i="10"/>
  <c r="H32" i="10"/>
  <c r="H39" i="10"/>
  <c r="H42" i="10" s="1"/>
  <c r="H87" i="10"/>
  <c r="H81" i="10"/>
  <c r="I93" i="10" s="1"/>
  <c r="I98" i="10" s="1"/>
  <c r="I99" i="10" s="1"/>
  <c r="I28" i="10" s="1"/>
  <c r="I31" i="10" s="1"/>
  <c r="I83" i="10" s="1"/>
  <c r="F69" i="10" l="1"/>
  <c r="F68" i="10" s="1"/>
  <c r="G59" i="10"/>
  <c r="G60" i="10" s="1"/>
  <c r="H59" i="10" s="1"/>
  <c r="F75" i="10"/>
  <c r="F74" i="10" s="1"/>
  <c r="E69" i="10"/>
  <c r="E68" i="10" s="1"/>
  <c r="E75" i="10"/>
  <c r="E74" i="10" s="1"/>
  <c r="H56" i="10"/>
  <c r="H62" i="10"/>
  <c r="I81" i="10"/>
  <c r="I87" i="10"/>
  <c r="I32" i="10"/>
  <c r="I39" i="10"/>
  <c r="I42" i="10" s="1"/>
  <c r="G75" i="10" l="1"/>
  <c r="G74" i="10" s="1"/>
  <c r="E86" i="10"/>
  <c r="E88" i="10"/>
  <c r="G69" i="10"/>
  <c r="G68" i="10" s="1"/>
  <c r="H60" i="10"/>
  <c r="I59" i="10" s="1"/>
  <c r="F86" i="10"/>
  <c r="F88" i="10"/>
  <c r="I56" i="10"/>
  <c r="I62" i="10"/>
  <c r="G86" i="10" l="1"/>
  <c r="H69" i="10"/>
  <c r="H68" i="10" s="1"/>
  <c r="G88" i="10"/>
  <c r="H75" i="10"/>
  <c r="H74" i="10" s="1"/>
  <c r="I60" i="10"/>
  <c r="I75" i="10" s="1"/>
  <c r="I74" i="10" s="1"/>
  <c r="H86" i="10" l="1"/>
  <c r="H88" i="10"/>
  <c r="I69" i="10"/>
  <c r="I68" i="10" s="1"/>
  <c r="I86" i="10" s="1"/>
  <c r="I88" i="10" l="1"/>
</calcChain>
</file>

<file path=xl/sharedStrings.xml><?xml version="1.0" encoding="utf-8"?>
<sst xmlns="http://schemas.openxmlformats.org/spreadsheetml/2006/main" count="230" uniqueCount="171">
  <si>
    <t>Input</t>
  </si>
  <si>
    <t>Scenario Summary</t>
  </si>
  <si>
    <t>Sale Prices</t>
  </si>
  <si>
    <t>General Input</t>
  </si>
  <si>
    <t>Working capital</t>
  </si>
  <si>
    <t>Days payable (G&amp;A)</t>
  </si>
  <si>
    <t>Days payable (S&amp;M)</t>
  </si>
  <si>
    <t>Days payable (COGS)</t>
  </si>
  <si>
    <t>Days receivable</t>
  </si>
  <si>
    <t>Days inventory</t>
  </si>
  <si>
    <t>Manpower Count</t>
  </si>
  <si>
    <t>Admin Staff (Except S&amp;M)</t>
  </si>
  <si>
    <t>Direct Labor</t>
  </si>
  <si>
    <t>Manpower Cost</t>
  </si>
  <si>
    <t>G&amp;A</t>
  </si>
  <si>
    <t>Hiring Costs</t>
  </si>
  <si>
    <t>S&amp;M</t>
  </si>
  <si>
    <t>Supplies</t>
  </si>
  <si>
    <t>Advertising</t>
  </si>
  <si>
    <t>Travel</t>
  </si>
  <si>
    <t>Commissions</t>
  </si>
  <si>
    <t>COGS</t>
  </si>
  <si>
    <t>Other COGS</t>
  </si>
  <si>
    <t>CAPEX</t>
  </si>
  <si>
    <t>Financing</t>
  </si>
  <si>
    <t>Others</t>
  </si>
  <si>
    <t>Other Assumptions</t>
  </si>
  <si>
    <t>Annual Increase in Salaries &amp; Benefits</t>
  </si>
  <si>
    <t>Depreciation Period (Years)</t>
  </si>
  <si>
    <t>Grace period (principal)</t>
  </si>
  <si>
    <t>Loan installments</t>
  </si>
  <si>
    <t>Management fees</t>
  </si>
  <si>
    <t>Zakat</t>
  </si>
  <si>
    <t>Inflation</t>
  </si>
  <si>
    <t>Scenario assumptions</t>
  </si>
  <si>
    <t>Sales Assumptions (in units)</t>
  </si>
  <si>
    <t>Base Comp.</t>
  </si>
  <si>
    <t>Benefits</t>
  </si>
  <si>
    <t>Total Comp</t>
  </si>
  <si>
    <t>Fixed Annual Exp</t>
  </si>
  <si>
    <t>Variable Annual Exp</t>
  </si>
  <si>
    <t>Sources</t>
  </si>
  <si>
    <t>Total Capex per year</t>
  </si>
  <si>
    <t>Y to Y</t>
  </si>
  <si>
    <t>Start Year</t>
  </si>
  <si>
    <t>Revenues</t>
  </si>
  <si>
    <t>Total sales revenues</t>
  </si>
  <si>
    <t>in  SAR</t>
  </si>
  <si>
    <t>Manpower - Count &amp; Compensation</t>
  </si>
  <si>
    <t>Count</t>
  </si>
  <si>
    <t>Compensation</t>
  </si>
  <si>
    <t>Total Compensation</t>
  </si>
  <si>
    <t>Total Count</t>
  </si>
  <si>
    <t>Opex</t>
  </si>
  <si>
    <t>G&amp;A Labor</t>
  </si>
  <si>
    <t>Total G&amp;A</t>
  </si>
  <si>
    <t>S&amp;M Labor</t>
  </si>
  <si>
    <t>Total S&amp;M</t>
  </si>
  <si>
    <t>Total COGS</t>
  </si>
  <si>
    <t>G &amp; A</t>
  </si>
  <si>
    <t>S &amp; M</t>
  </si>
  <si>
    <t>S &amp; M staff</t>
  </si>
  <si>
    <t xml:space="preserve">G &amp; A </t>
  </si>
  <si>
    <t>Capex &amp; Depreciation</t>
  </si>
  <si>
    <t>Assets</t>
  </si>
  <si>
    <t>Net addition to gross assets</t>
  </si>
  <si>
    <t>Gross Assets</t>
  </si>
  <si>
    <t>Beginning of Yr Undepreciated Assets</t>
  </si>
  <si>
    <t>Depreciation</t>
  </si>
  <si>
    <t>End of Yr Undepreciated Assets</t>
  </si>
  <si>
    <t>Capital Expenditures ( SAR)</t>
  </si>
  <si>
    <t>Working Capital</t>
  </si>
  <si>
    <t>Accounts payable G&amp;A</t>
  </si>
  <si>
    <t>Accounts payable S&amp;M</t>
  </si>
  <si>
    <t>Accounts payable COGS</t>
  </si>
  <si>
    <t>Total accounts payable</t>
  </si>
  <si>
    <t>Total accounts receivable</t>
  </si>
  <si>
    <t>Change in Working Capital</t>
  </si>
  <si>
    <t>Working Capital (% Revenues)</t>
  </si>
  <si>
    <t>Number of days in a year</t>
  </si>
  <si>
    <t>Total inventory</t>
  </si>
  <si>
    <t>Financial Statements</t>
  </si>
  <si>
    <t>Income Statement (SAR)</t>
  </si>
  <si>
    <t>Sales revenues</t>
  </si>
  <si>
    <t>Net sales revenues</t>
  </si>
  <si>
    <t>Gross Profit</t>
  </si>
  <si>
    <t>Gross margin</t>
  </si>
  <si>
    <t>G&amp;A &amp; S&amp;M</t>
  </si>
  <si>
    <t>EBITDA</t>
  </si>
  <si>
    <t>EBITDA margin</t>
  </si>
  <si>
    <t>Fixed assets depreciation</t>
  </si>
  <si>
    <t>Total depreciation expenses</t>
  </si>
  <si>
    <t>EBIT</t>
  </si>
  <si>
    <t>EBIT margin</t>
  </si>
  <si>
    <t>Zakah</t>
  </si>
  <si>
    <t>Dividends</t>
  </si>
  <si>
    <t>Net income</t>
  </si>
  <si>
    <t>Net margin</t>
  </si>
  <si>
    <t>Cash flow statement (SAR)</t>
  </si>
  <si>
    <t>Cash Flow from operations</t>
  </si>
  <si>
    <t>Change in Net Working Capital</t>
  </si>
  <si>
    <t>Total cash flow from operations</t>
  </si>
  <si>
    <t>Cash Flow from investing</t>
  </si>
  <si>
    <t>Capex/maintenance capex</t>
  </si>
  <si>
    <t>Total cash flow from investment</t>
  </si>
  <si>
    <t>Total cash from from financing</t>
  </si>
  <si>
    <t>Total cash flow from financing</t>
  </si>
  <si>
    <t>Net cash flow</t>
  </si>
  <si>
    <t>Cash position</t>
  </si>
  <si>
    <t>Beginning balance</t>
  </si>
  <si>
    <t>Ending balance</t>
  </si>
  <si>
    <t>Loan repayment</t>
  </si>
  <si>
    <t>Balance Sheet (SAR)</t>
  </si>
  <si>
    <t>Fixed Assets</t>
  </si>
  <si>
    <t>Current assets</t>
  </si>
  <si>
    <t>Cash</t>
  </si>
  <si>
    <t>Payables</t>
  </si>
  <si>
    <t>Receivables</t>
  </si>
  <si>
    <t>Other</t>
  </si>
  <si>
    <t>Liabilities</t>
  </si>
  <si>
    <t>Current liabilities</t>
  </si>
  <si>
    <t>Long term liabilities</t>
  </si>
  <si>
    <t>Overdraft</t>
  </si>
  <si>
    <t>Senior debt</t>
  </si>
  <si>
    <t>Subordinated debt</t>
  </si>
  <si>
    <t>Equity</t>
  </si>
  <si>
    <t>Shareholders' contribution</t>
  </si>
  <si>
    <t>Retained earnings</t>
  </si>
  <si>
    <t>Balance sheet check</t>
  </si>
  <si>
    <t>Profit and loss check</t>
  </si>
  <si>
    <t>Cash flow check</t>
  </si>
  <si>
    <t>Headcount increase (YoY)</t>
  </si>
  <si>
    <t>Avg yearly wage</t>
  </si>
  <si>
    <t>Direct labor</t>
  </si>
  <si>
    <t>Management fee</t>
  </si>
  <si>
    <t>Input cell</t>
  </si>
  <si>
    <t>Calculation cell</t>
  </si>
  <si>
    <t>…</t>
  </si>
  <si>
    <t>Inventory</t>
  </si>
  <si>
    <t>Sale Prices (in SAR/unit)</t>
  </si>
  <si>
    <t>Yearly Comp (SAR/year)</t>
  </si>
  <si>
    <t>Annual Costs assumptions (in SAR/year)</t>
  </si>
  <si>
    <t>COGS (Operating costs)</t>
  </si>
  <si>
    <t>S&amp;M (Non operating costs)</t>
  </si>
  <si>
    <t>G&amp;A (Non operating costs)</t>
  </si>
  <si>
    <t>Total Costs</t>
  </si>
  <si>
    <t xml:space="preserve">Zakat </t>
  </si>
  <si>
    <t>Beginning Balance of Equity</t>
  </si>
  <si>
    <t>Loans used to fund the construction of  the project</t>
  </si>
  <si>
    <t>- Long term investment in other companies</t>
  </si>
  <si>
    <t>- Fixed Assets</t>
  </si>
  <si>
    <t>Zakat Base</t>
  </si>
  <si>
    <t>Zakat at 2.5%</t>
  </si>
  <si>
    <t>Yr 0</t>
  </si>
  <si>
    <t>Total Project Cost</t>
  </si>
  <si>
    <t>Capital Expenditure</t>
  </si>
  <si>
    <t>Total Project Cost:</t>
  </si>
  <si>
    <t>DSCR</t>
  </si>
  <si>
    <t>Subscription cost/ International Publisher (in SAR/unit)</t>
  </si>
  <si>
    <t>Coordinator</t>
  </si>
  <si>
    <t>Language Editor</t>
  </si>
  <si>
    <t xml:space="preserve">Editor in Chief </t>
  </si>
  <si>
    <t xml:space="preserve">Branding and identity </t>
  </si>
  <si>
    <t>CEO ( Journal Manager)</t>
  </si>
  <si>
    <t>Subscription cost</t>
  </si>
  <si>
    <t>volumes/year</t>
  </si>
  <si>
    <t>Peer Reveiwed Manuscript</t>
  </si>
  <si>
    <t>Other Parties</t>
  </si>
  <si>
    <t>Other support ( Lawyer, Bioethicist)</t>
  </si>
  <si>
    <t>Hevolution</t>
  </si>
  <si>
    <t>Set up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</si>
</sst>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mmm\ yyyy"/>
    <numFmt numFmtId="166" formatCode="_-* #,##0.00_-;_-* #,##0.00\-;_-* &quot;-&quot;??_-;_-@_-"/>
    <numFmt numFmtId="167" formatCode="#,##0.0"/>
    <numFmt numFmtId="168" formatCode="0.0%"/>
    <numFmt numFmtId="169" formatCode="0.000%"/>
    <numFmt numFmtId="170" formatCode="0.0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MetaNormalLF-Roman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2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6"/>
      <color theme="0"/>
      <name val="Arial"/>
      <family val="2"/>
    </font>
    <font>
      <sz val="10"/>
      <color theme="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sz val="2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i/>
      <sz val="11"/>
      <color theme="1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399975585192419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2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9" fillId="2" borderId="0"/>
    <xf numFmtId="0" fontId="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" fillId="0" borderId="0"/>
    <xf numFmtId="43" fontId="20" fillId="0" borderId="0" applyFont="0" applyFill="0" applyBorder="0" applyAlignment="0" applyProtection="0"/>
  </cellStyleXfs>
  <cellXfs count="297">
    <xf numFmtId="0" fontId="0" fillId="0" borderId="0" xfId="0"/>
    <xf numFmtId="0" fontId="5" fillId="7" borderId="22" xfId="11" applyFont="1" applyFill="1" applyBorder="1" applyAlignment="1">
      <alignment vertical="center"/>
    </xf>
    <xf numFmtId="0" fontId="3" fillId="4" borderId="6" xfId="11" applyFont="1" applyFill="1" applyBorder="1" applyAlignment="1">
      <alignment horizontal="center"/>
    </xf>
    <xf numFmtId="0" fontId="5" fillId="3" borderId="6" xfId="11" applyFont="1" applyFill="1" applyBorder="1" applyAlignment="1">
      <alignment vertical="center"/>
    </xf>
    <xf numFmtId="0" fontId="3" fillId="8" borderId="0" xfId="11" applyFont="1" applyFill="1"/>
    <xf numFmtId="0" fontId="1" fillId="5" borderId="0" xfId="11" applyFill="1"/>
    <xf numFmtId="0" fontId="3" fillId="4" borderId="33" xfId="11" applyFont="1" applyFill="1" applyBorder="1" applyAlignment="1">
      <alignment horizontal="center"/>
    </xf>
    <xf numFmtId="0" fontId="3" fillId="0" borderId="0" xfId="26" applyFont="1"/>
    <xf numFmtId="3" fontId="1" fillId="2" borderId="3" xfId="2" applyNumberFormat="1" applyFont="1" applyFill="1" applyBorder="1" applyAlignment="1">
      <alignment horizontal="center"/>
    </xf>
    <xf numFmtId="1" fontId="6" fillId="3" borderId="2" xfId="11" applyNumberFormat="1" applyFont="1" applyFill="1" applyBorder="1" applyAlignment="1">
      <alignment horizontal="center"/>
    </xf>
    <xf numFmtId="0" fontId="5" fillId="7" borderId="8" xfId="11" applyFont="1" applyFill="1" applyBorder="1" applyAlignment="1">
      <alignment vertical="center"/>
    </xf>
    <xf numFmtId="1" fontId="6" fillId="3" borderId="27" xfId="11" applyNumberFormat="1" applyFont="1" applyFill="1" applyBorder="1" applyAlignment="1">
      <alignment horizontal="center"/>
    </xf>
    <xf numFmtId="0" fontId="5" fillId="3" borderId="21" xfId="11" applyFont="1" applyFill="1" applyBorder="1" applyAlignment="1">
      <alignment vertical="center"/>
    </xf>
    <xf numFmtId="0" fontId="3" fillId="4" borderId="21" xfId="11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vertical="center"/>
    </xf>
    <xf numFmtId="0" fontId="3" fillId="4" borderId="38" xfId="0" applyFont="1" applyFill="1" applyBorder="1" applyAlignment="1">
      <alignment horizontal="center" wrapText="1"/>
    </xf>
    <xf numFmtId="0" fontId="0" fillId="5" borderId="0" xfId="0" applyFill="1"/>
    <xf numFmtId="0" fontId="12" fillId="5" borderId="0" xfId="0" applyFont="1" applyFill="1" applyAlignment="1">
      <alignment vertical="center"/>
    </xf>
    <xf numFmtId="0" fontId="3" fillId="5" borderId="0" xfId="11" applyFont="1" applyFill="1" applyAlignment="1">
      <alignment vertical="center"/>
    </xf>
    <xf numFmtId="0" fontId="8" fillId="5" borderId="1" xfId="11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3" fillId="5" borderId="0" xfId="11" applyFont="1" applyFill="1"/>
    <xf numFmtId="0" fontId="1" fillId="5" borderId="7" xfId="11" applyFill="1" applyBorder="1"/>
    <xf numFmtId="0" fontId="1" fillId="5" borderId="9" xfId="11" applyFill="1" applyBorder="1"/>
    <xf numFmtId="0" fontId="1" fillId="5" borderId="11" xfId="11" applyFill="1" applyBorder="1"/>
    <xf numFmtId="0" fontId="1" fillId="5" borderId="29" xfId="14" applyNumberFormat="1" applyFont="1" applyFill="1" applyBorder="1" applyAlignment="1">
      <alignment horizontal="center"/>
    </xf>
    <xf numFmtId="0" fontId="1" fillId="5" borderId="9" xfId="11" applyFill="1" applyBorder="1" applyAlignment="1">
      <alignment horizontal="left"/>
    </xf>
    <xf numFmtId="164" fontId="10" fillId="5" borderId="10" xfId="2" applyNumberFormat="1" applyFont="1" applyFill="1" applyBorder="1" applyAlignment="1">
      <alignment horizontal="center"/>
    </xf>
    <xf numFmtId="164" fontId="10" fillId="5" borderId="13" xfId="2" applyNumberFormat="1" applyFont="1" applyFill="1" applyBorder="1" applyAlignment="1">
      <alignment horizontal="center"/>
    </xf>
    <xf numFmtId="0" fontId="3" fillId="5" borderId="15" xfId="11" applyFont="1" applyFill="1" applyBorder="1" applyAlignment="1">
      <alignment horizontal="left"/>
    </xf>
    <xf numFmtId="1" fontId="7" fillId="5" borderId="16" xfId="14" applyNumberFormat="1" applyFont="1" applyFill="1" applyBorder="1" applyAlignment="1">
      <alignment horizontal="center"/>
    </xf>
    <xf numFmtId="1" fontId="7" fillId="5" borderId="32" xfId="14" applyNumberFormat="1" applyFont="1" applyFill="1" applyBorder="1" applyAlignment="1">
      <alignment horizontal="center"/>
    </xf>
    <xf numFmtId="0" fontId="1" fillId="5" borderId="9" xfId="11" applyFill="1" applyBorder="1" applyAlignment="1">
      <alignment horizontal="left" indent="1"/>
    </xf>
    <xf numFmtId="0" fontId="1" fillId="5" borderId="28" xfId="11" applyFill="1" applyBorder="1" applyAlignment="1">
      <alignment horizontal="left" indent="1"/>
    </xf>
    <xf numFmtId="0" fontId="3" fillId="5" borderId="23" xfId="11" applyFont="1" applyFill="1" applyBorder="1"/>
    <xf numFmtId="0" fontId="1" fillId="5" borderId="7" xfId="11" applyFill="1" applyBorder="1" applyAlignment="1">
      <alignment horizontal="left"/>
    </xf>
    <xf numFmtId="0" fontId="3" fillId="5" borderId="36" xfId="11" applyFont="1" applyFill="1" applyBorder="1" applyAlignment="1">
      <alignment horizontal="left"/>
    </xf>
    <xf numFmtId="0" fontId="1" fillId="5" borderId="17" xfId="11" applyFill="1" applyBorder="1"/>
    <xf numFmtId="9" fontId="7" fillId="5" borderId="24" xfId="14" applyFont="1" applyFill="1" applyBorder="1" applyAlignment="1">
      <alignment horizontal="center"/>
    </xf>
    <xf numFmtId="0" fontId="7" fillId="5" borderId="24" xfId="14" applyNumberFormat="1" applyFont="1" applyFill="1" applyBorder="1" applyAlignment="1">
      <alignment horizontal="center"/>
    </xf>
    <xf numFmtId="168" fontId="7" fillId="5" borderId="24" xfId="14" applyNumberFormat="1" applyFont="1" applyFill="1" applyBorder="1" applyAlignment="1">
      <alignment horizontal="center"/>
    </xf>
    <xf numFmtId="0" fontId="1" fillId="5" borderId="18" xfId="11" applyFill="1" applyBorder="1"/>
    <xf numFmtId="0" fontId="8" fillId="5" borderId="1" xfId="26" applyFont="1" applyFill="1" applyBorder="1"/>
    <xf numFmtId="0" fontId="5" fillId="3" borderId="14" xfId="11" applyFont="1" applyFill="1" applyBorder="1" applyAlignment="1">
      <alignment vertical="center"/>
    </xf>
    <xf numFmtId="0" fontId="0" fillId="2" borderId="1" xfId="0" applyFill="1" applyBorder="1"/>
    <xf numFmtId="0" fontId="14" fillId="9" borderId="0" xfId="0" applyFont="1" applyFill="1"/>
    <xf numFmtId="0" fontId="15" fillId="9" borderId="0" xfId="0" applyFont="1" applyFill="1"/>
    <xf numFmtId="0" fontId="0" fillId="9" borderId="0" xfId="0" applyFill="1"/>
    <xf numFmtId="0" fontId="0" fillId="2" borderId="0" xfId="0" applyFill="1"/>
    <xf numFmtId="3" fontId="1" fillId="2" borderId="16" xfId="2" applyNumberFormat="1" applyFont="1" applyFill="1" applyBorder="1" applyAlignment="1">
      <alignment horizontal="center"/>
    </xf>
    <xf numFmtId="0" fontId="3" fillId="4" borderId="7" xfId="0" applyFont="1" applyFill="1" applyBorder="1"/>
    <xf numFmtId="164" fontId="3" fillId="4" borderId="16" xfId="2" applyNumberFormat="1" applyFont="1" applyFill="1" applyBorder="1"/>
    <xf numFmtId="0" fontId="17" fillId="10" borderId="15" xfId="0" applyFont="1" applyFill="1" applyBorder="1" applyAlignment="1">
      <alignment horizontal="left" indent="2"/>
    </xf>
    <xf numFmtId="3" fontId="17" fillId="10" borderId="16" xfId="2" applyNumberFormat="1" applyFont="1" applyFill="1" applyBorder="1" applyAlignment="1">
      <alignment horizontal="center"/>
    </xf>
    <xf numFmtId="0" fontId="17" fillId="10" borderId="36" xfId="0" applyFont="1" applyFill="1" applyBorder="1" applyAlignment="1">
      <alignment horizontal="left" indent="2"/>
    </xf>
    <xf numFmtId="3" fontId="17" fillId="10" borderId="12" xfId="2" applyNumberFormat="1" applyFont="1" applyFill="1" applyBorder="1" applyAlignment="1">
      <alignment horizontal="center"/>
    </xf>
    <xf numFmtId="3" fontId="17" fillId="5" borderId="0" xfId="2" applyNumberFormat="1" applyFont="1" applyFill="1" applyBorder="1" applyAlignment="1">
      <alignment horizontal="center"/>
    </xf>
    <xf numFmtId="0" fontId="17" fillId="7" borderId="15" xfId="0" applyFont="1" applyFill="1" applyBorder="1" applyAlignment="1">
      <alignment horizontal="left" indent="2"/>
    </xf>
    <xf numFmtId="3" fontId="17" fillId="7" borderId="16" xfId="2" applyNumberFormat="1" applyFont="1" applyFill="1" applyBorder="1" applyAlignment="1">
      <alignment horizontal="center"/>
    </xf>
    <xf numFmtId="0" fontId="17" fillId="7" borderId="36" xfId="0" applyFont="1" applyFill="1" applyBorder="1" applyAlignment="1">
      <alignment horizontal="left" indent="2"/>
    </xf>
    <xf numFmtId="3" fontId="17" fillId="7" borderId="42" xfId="2" applyNumberFormat="1" applyFont="1" applyFill="1" applyBorder="1" applyAlignment="1">
      <alignment horizontal="center"/>
    </xf>
    <xf numFmtId="0" fontId="0" fillId="5" borderId="0" xfId="0" applyFill="1" applyAlignment="1">
      <alignment vertical="center"/>
    </xf>
    <xf numFmtId="1" fontId="6" fillId="3" borderId="27" xfId="11" applyNumberFormat="1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vertical="center"/>
    </xf>
    <xf numFmtId="164" fontId="17" fillId="10" borderId="16" xfId="2" applyNumberFormat="1" applyFont="1" applyFill="1" applyBorder="1" applyAlignment="1">
      <alignment vertical="center"/>
    </xf>
    <xf numFmtId="164" fontId="17" fillId="10" borderId="40" xfId="2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64" fontId="3" fillId="4" borderId="16" xfId="2" applyNumberFormat="1" applyFont="1" applyFill="1" applyBorder="1" applyAlignment="1">
      <alignment vertical="center"/>
    </xf>
    <xf numFmtId="164" fontId="3" fillId="4" borderId="40" xfId="2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3" fontId="1" fillId="2" borderId="3" xfId="2" applyNumberFormat="1" applyFont="1" applyFill="1" applyBorder="1" applyAlignment="1">
      <alignment horizontal="center" vertical="center"/>
    </xf>
    <xf numFmtId="3" fontId="1" fillId="2" borderId="10" xfId="2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3" fontId="3" fillId="2" borderId="3" xfId="2" applyNumberFormat="1" applyFont="1" applyFill="1" applyBorder="1" applyAlignment="1">
      <alignment horizontal="center" vertical="center"/>
    </xf>
    <xf numFmtId="3" fontId="3" fillId="2" borderId="10" xfId="2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3" fontId="3" fillId="4" borderId="3" xfId="2" applyNumberFormat="1" applyFont="1" applyFill="1" applyBorder="1" applyAlignment="1">
      <alignment vertical="center"/>
    </xf>
    <xf numFmtId="3" fontId="3" fillId="4" borderId="10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7" fillId="10" borderId="15" xfId="0" applyFont="1" applyFill="1" applyBorder="1" applyAlignment="1">
      <alignment horizontal="left" vertical="center"/>
    </xf>
    <xf numFmtId="3" fontId="17" fillId="10" borderId="16" xfId="2" applyNumberFormat="1" applyFont="1" applyFill="1" applyBorder="1" applyAlignment="1">
      <alignment horizontal="center" vertical="center"/>
    </xf>
    <xf numFmtId="0" fontId="17" fillId="10" borderId="36" xfId="0" applyFont="1" applyFill="1" applyBorder="1" applyAlignment="1">
      <alignment horizontal="left" vertical="center"/>
    </xf>
    <xf numFmtId="3" fontId="17" fillId="10" borderId="12" xfId="2" applyNumberFormat="1" applyFont="1" applyFill="1" applyBorder="1" applyAlignment="1">
      <alignment horizontal="center" vertical="center"/>
    </xf>
    <xf numFmtId="3" fontId="17" fillId="5" borderId="0" xfId="2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6" fillId="5" borderId="0" xfId="0" applyFont="1" applyFill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3" fontId="1" fillId="5" borderId="16" xfId="2" applyNumberFormat="1" applyFont="1" applyFill="1" applyBorder="1" applyAlignment="1">
      <alignment horizontal="center" vertical="center"/>
    </xf>
    <xf numFmtId="3" fontId="1" fillId="5" borderId="40" xfId="2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3" fontId="3" fillId="5" borderId="42" xfId="2" applyNumberFormat="1" applyFont="1" applyFill="1" applyBorder="1" applyAlignment="1">
      <alignment horizontal="center" vertical="center"/>
    </xf>
    <xf numFmtId="3" fontId="3" fillId="5" borderId="43" xfId="2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5" borderId="44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167" fontId="10" fillId="2" borderId="30" xfId="2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3" fontId="3" fillId="2" borderId="12" xfId="14" applyNumberFormat="1" applyFont="1" applyFill="1" applyBorder="1" applyAlignment="1">
      <alignment horizontal="center"/>
    </xf>
    <xf numFmtId="3" fontId="0" fillId="0" borderId="0" xfId="0" applyNumberFormat="1"/>
    <xf numFmtId="0" fontId="3" fillId="4" borderId="22" xfId="0" applyFont="1" applyFill="1" applyBorder="1"/>
    <xf numFmtId="3" fontId="3" fillId="4" borderId="39" xfId="2" applyNumberFormat="1" applyFont="1" applyFill="1" applyBorder="1"/>
    <xf numFmtId="0" fontId="1" fillId="2" borderId="7" xfId="0" applyFont="1" applyFill="1" applyBorder="1" applyAlignment="1">
      <alignment horizontal="left"/>
    </xf>
    <xf numFmtId="3" fontId="3" fillId="4" borderId="16" xfId="2" applyNumberFormat="1" applyFont="1" applyFill="1" applyBorder="1"/>
    <xf numFmtId="0" fontId="3" fillId="2" borderId="6" xfId="0" applyFont="1" applyFill="1" applyBorder="1" applyAlignment="1">
      <alignment horizontal="left"/>
    </xf>
    <xf numFmtId="3" fontId="3" fillId="2" borderId="42" xfId="14" applyNumberFormat="1" applyFont="1" applyFill="1" applyBorder="1" applyAlignment="1">
      <alignment horizontal="center"/>
    </xf>
    <xf numFmtId="0" fontId="18" fillId="5" borderId="0" xfId="0" applyFont="1" applyFill="1"/>
    <xf numFmtId="0" fontId="1" fillId="5" borderId="36" xfId="11" applyFill="1" applyBorder="1" applyAlignment="1">
      <alignment horizontal="left"/>
    </xf>
    <xf numFmtId="0" fontId="3" fillId="2" borderId="0" xfId="0" applyFont="1" applyFill="1" applyAlignment="1">
      <alignment vertical="center"/>
    </xf>
    <xf numFmtId="3" fontId="3" fillId="2" borderId="0" xfId="2" applyNumberFormat="1" applyFont="1" applyFill="1" applyBorder="1" applyAlignment="1">
      <alignment horizontal="center" vertical="center"/>
    </xf>
    <xf numFmtId="0" fontId="1" fillId="5" borderId="0" xfId="11" applyFill="1" applyAlignment="1">
      <alignment horizontal="left"/>
    </xf>
    <xf numFmtId="3" fontId="1" fillId="5" borderId="0" xfId="2" applyNumberFormat="1" applyFont="1" applyFill="1" applyBorder="1" applyAlignment="1">
      <alignment horizontal="right"/>
    </xf>
    <xf numFmtId="164" fontId="1" fillId="5" borderId="0" xfId="2" applyNumberFormat="1" applyFont="1" applyFill="1" applyBorder="1" applyAlignment="1">
      <alignment horizontal="center"/>
    </xf>
    <xf numFmtId="164" fontId="10" fillId="5" borderId="0" xfId="2" applyNumberFormat="1" applyFont="1" applyFill="1" applyBorder="1" applyAlignment="1">
      <alignment horizontal="center"/>
    </xf>
    <xf numFmtId="167" fontId="10" fillId="2" borderId="49" xfId="2" applyNumberFormat="1" applyFont="1" applyFill="1" applyBorder="1" applyAlignment="1">
      <alignment horizontal="center"/>
    </xf>
    <xf numFmtId="167" fontId="10" fillId="2" borderId="31" xfId="2" applyNumberFormat="1" applyFont="1" applyFill="1" applyBorder="1" applyAlignment="1">
      <alignment horizontal="center"/>
    </xf>
    <xf numFmtId="1" fontId="6" fillId="3" borderId="14" xfId="11" applyNumberFormat="1" applyFont="1" applyFill="1" applyBorder="1" applyAlignment="1">
      <alignment horizontal="center"/>
    </xf>
    <xf numFmtId="0" fontId="5" fillId="7" borderId="27" xfId="11" applyFont="1" applyFill="1" applyBorder="1" applyAlignment="1">
      <alignment vertical="center"/>
    </xf>
    <xf numFmtId="0" fontId="3" fillId="5" borderId="52" xfId="11" applyFont="1" applyFill="1" applyBorder="1" applyAlignment="1">
      <alignment horizontal="left"/>
    </xf>
    <xf numFmtId="0" fontId="3" fillId="5" borderId="19" xfId="11" applyFont="1" applyFill="1" applyBorder="1" applyAlignment="1">
      <alignment horizontal="left"/>
    </xf>
    <xf numFmtId="0" fontId="1" fillId="5" borderId="34" xfId="11" applyFill="1" applyBorder="1" applyAlignment="1">
      <alignment horizontal="left"/>
    </xf>
    <xf numFmtId="0" fontId="1" fillId="5" borderId="35" xfId="11" applyFill="1" applyBorder="1" applyAlignment="1">
      <alignment horizontal="left"/>
    </xf>
    <xf numFmtId="0" fontId="3" fillId="5" borderId="26" xfId="11" applyFont="1" applyFill="1" applyBorder="1" applyAlignment="1">
      <alignment horizontal="left"/>
    </xf>
    <xf numFmtId="0" fontId="1" fillId="5" borderId="29" xfId="11" applyFill="1" applyBorder="1" applyAlignment="1">
      <alignment horizontal="left"/>
    </xf>
    <xf numFmtId="1" fontId="6" fillId="3" borderId="27" xfId="0" applyNumberFormat="1" applyFont="1" applyFill="1" applyBorder="1" applyAlignment="1">
      <alignment horizontal="center"/>
    </xf>
    <xf numFmtId="164" fontId="3" fillId="4" borderId="40" xfId="2" applyNumberFormat="1" applyFont="1" applyFill="1" applyBorder="1"/>
    <xf numFmtId="0" fontId="3" fillId="2" borderId="7" xfId="0" applyFont="1" applyFill="1" applyBorder="1" applyAlignment="1">
      <alignment horizontal="left"/>
    </xf>
    <xf numFmtId="3" fontId="3" fillId="2" borderId="16" xfId="2" applyNumberFormat="1" applyFont="1" applyFill="1" applyBorder="1" applyAlignment="1">
      <alignment horizontal="center"/>
    </xf>
    <xf numFmtId="3" fontId="3" fillId="2" borderId="40" xfId="2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left"/>
    </xf>
    <xf numFmtId="3" fontId="1" fillId="2" borderId="5" xfId="2" applyNumberFormat="1" applyFont="1" applyFill="1" applyBorder="1" applyAlignment="1">
      <alignment horizontal="center"/>
    </xf>
    <xf numFmtId="3" fontId="1" fillId="2" borderId="41" xfId="2" applyNumberFormat="1" applyFont="1" applyFill="1" applyBorder="1" applyAlignment="1">
      <alignment horizontal="center"/>
    </xf>
    <xf numFmtId="3" fontId="3" fillId="2" borderId="12" xfId="2" applyNumberFormat="1" applyFont="1" applyFill="1" applyBorder="1" applyAlignment="1">
      <alignment horizontal="center"/>
    </xf>
    <xf numFmtId="3" fontId="3" fillId="2" borderId="13" xfId="2" applyNumberFormat="1" applyFont="1" applyFill="1" applyBorder="1" applyAlignment="1">
      <alignment horizontal="center"/>
    </xf>
    <xf numFmtId="0" fontId="16" fillId="5" borderId="0" xfId="0" applyFont="1" applyFill="1"/>
    <xf numFmtId="3" fontId="1" fillId="2" borderId="10" xfId="2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 indent="2"/>
    </xf>
    <xf numFmtId="3" fontId="1" fillId="2" borderId="40" xfId="2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 indent="2"/>
    </xf>
    <xf numFmtId="0" fontId="1" fillId="2" borderId="11" xfId="0" applyFont="1" applyFill="1" applyBorder="1" applyAlignment="1">
      <alignment horizontal="left"/>
    </xf>
    <xf numFmtId="3" fontId="1" fillId="2" borderId="12" xfId="2" applyNumberFormat="1" applyFont="1" applyFill="1" applyBorder="1" applyAlignment="1">
      <alignment horizontal="center"/>
    </xf>
    <xf numFmtId="3" fontId="1" fillId="2" borderId="13" xfId="2" applyNumberFormat="1" applyFont="1" applyFill="1" applyBorder="1" applyAlignment="1">
      <alignment horizontal="center"/>
    </xf>
    <xf numFmtId="0" fontId="1" fillId="11" borderId="22" xfId="0" applyFont="1" applyFill="1" applyBorder="1"/>
    <xf numFmtId="3" fontId="0" fillId="11" borderId="49" xfId="0" applyNumberFormat="1" applyFill="1" applyBorder="1"/>
    <xf numFmtId="3" fontId="0" fillId="11" borderId="31" xfId="0" applyNumberFormat="1" applyFill="1" applyBorder="1"/>
    <xf numFmtId="0" fontId="1" fillId="11" borderId="36" xfId="0" applyFont="1" applyFill="1" applyBorder="1" applyAlignment="1">
      <alignment horizontal="left"/>
    </xf>
    <xf numFmtId="3" fontId="1" fillId="11" borderId="53" xfId="0" applyNumberFormat="1" applyFont="1" applyFill="1" applyBorder="1"/>
    <xf numFmtId="0" fontId="1" fillId="0" borderId="6" xfId="0" applyFont="1" applyBorder="1"/>
    <xf numFmtId="169" fontId="0" fillId="0" borderId="21" xfId="0" applyNumberFormat="1" applyBorder="1"/>
    <xf numFmtId="169" fontId="0" fillId="0" borderId="14" xfId="0" applyNumberFormat="1" applyBorder="1"/>
    <xf numFmtId="0" fontId="7" fillId="5" borderId="25" xfId="14" applyNumberFormat="1" applyFont="1" applyFill="1" applyBorder="1" applyAlignment="1">
      <alignment horizontal="center"/>
    </xf>
    <xf numFmtId="3" fontId="1" fillId="2" borderId="55" xfId="2" applyNumberFormat="1" applyFont="1" applyFill="1" applyBorder="1" applyAlignment="1">
      <alignment horizontal="center"/>
    </xf>
    <xf numFmtId="3" fontId="1" fillId="11" borderId="54" xfId="0" applyNumberFormat="1" applyFont="1" applyFill="1" applyBorder="1"/>
    <xf numFmtId="0" fontId="16" fillId="2" borderId="0" xfId="0" applyFont="1" applyFill="1"/>
    <xf numFmtId="164" fontId="3" fillId="4" borderId="3" xfId="2" applyNumberFormat="1" applyFont="1" applyFill="1" applyBorder="1"/>
    <xf numFmtId="3" fontId="0" fillId="2" borderId="3" xfId="2" applyNumberFormat="1" applyFont="1" applyFill="1" applyBorder="1" applyAlignment="1">
      <alignment horizontal="center"/>
    </xf>
    <xf numFmtId="3" fontId="3" fillId="2" borderId="3" xfId="2" applyNumberFormat="1" applyFont="1" applyFill="1" applyBorder="1" applyAlignment="1">
      <alignment horizontal="center"/>
    </xf>
    <xf numFmtId="164" fontId="3" fillId="4" borderId="3" xfId="2" applyNumberFormat="1" applyFont="1" applyFill="1" applyBorder="1" applyAlignment="1">
      <alignment horizontal="center"/>
    </xf>
    <xf numFmtId="3" fontId="1" fillId="2" borderId="3" xfId="14" applyNumberFormat="1" applyFont="1" applyFill="1" applyBorder="1" applyAlignment="1">
      <alignment horizontal="center"/>
    </xf>
    <xf numFmtId="3" fontId="3" fillId="12" borderId="3" xfId="2" applyNumberFormat="1" applyFont="1" applyFill="1" applyBorder="1" applyAlignment="1">
      <alignment horizontal="center"/>
    </xf>
    <xf numFmtId="9" fontId="1" fillId="2" borderId="3" xfId="14" applyFont="1" applyFill="1" applyBorder="1" applyAlignment="1">
      <alignment horizontal="center"/>
    </xf>
    <xf numFmtId="10" fontId="3" fillId="4" borderId="3" xfId="14" applyNumberFormat="1" applyFont="1" applyFill="1" applyBorder="1" applyAlignment="1">
      <alignment horizontal="center"/>
    </xf>
    <xf numFmtId="3" fontId="3" fillId="4" borderId="3" xfId="2" applyNumberFormat="1" applyFont="1" applyFill="1" applyBorder="1" applyAlignment="1">
      <alignment horizontal="center"/>
    </xf>
    <xf numFmtId="9" fontId="3" fillId="2" borderId="3" xfId="14" applyFont="1" applyFill="1" applyBorder="1" applyAlignment="1">
      <alignment horizontal="center"/>
    </xf>
    <xf numFmtId="3" fontId="3" fillId="0" borderId="3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164" fontId="1" fillId="0" borderId="17" xfId="2" applyNumberFormat="1" applyFont="1" applyFill="1" applyBorder="1"/>
    <xf numFmtId="3" fontId="3" fillId="0" borderId="10" xfId="2" applyNumberFormat="1" applyFont="1" applyFill="1" applyBorder="1" applyAlignment="1">
      <alignment horizontal="center"/>
    </xf>
    <xf numFmtId="164" fontId="1" fillId="0" borderId="17" xfId="2" applyNumberFormat="1" applyFont="1" applyFill="1" applyBorder="1" applyAlignment="1">
      <alignment horizontal="right"/>
    </xf>
    <xf numFmtId="3" fontId="1" fillId="0" borderId="10" xfId="2" applyNumberFormat="1" applyFont="1" applyFill="1" applyBorder="1" applyAlignment="1">
      <alignment horizontal="center"/>
    </xf>
    <xf numFmtId="0" fontId="3" fillId="4" borderId="9" xfId="0" applyFont="1" applyFill="1" applyBorder="1"/>
    <xf numFmtId="164" fontId="3" fillId="4" borderId="10" xfId="2" applyNumberFormat="1" applyFont="1" applyFill="1" applyBorder="1"/>
    <xf numFmtId="164" fontId="1" fillId="0" borderId="18" xfId="2" applyNumberFormat="1" applyFont="1" applyFill="1" applyBorder="1"/>
    <xf numFmtId="3" fontId="3" fillId="0" borderId="12" xfId="2" applyNumberFormat="1" applyFont="1" applyFill="1" applyBorder="1" applyAlignment="1">
      <alignment horizontal="center"/>
    </xf>
    <xf numFmtId="3" fontId="3" fillId="0" borderId="13" xfId="2" applyNumberFormat="1" applyFont="1" applyFill="1" applyBorder="1" applyAlignment="1">
      <alignment horizontal="center"/>
    </xf>
    <xf numFmtId="0" fontId="3" fillId="0" borderId="9" xfId="0" applyFont="1" applyBorder="1"/>
    <xf numFmtId="164" fontId="3" fillId="0" borderId="17" xfId="2" applyNumberFormat="1" applyFont="1" applyFill="1" applyBorder="1"/>
    <xf numFmtId="3" fontId="3" fillId="4" borderId="10" xfId="2" applyNumberFormat="1" applyFont="1" applyFill="1" applyBorder="1" applyAlignment="1">
      <alignment horizontal="center"/>
    </xf>
    <xf numFmtId="164" fontId="3" fillId="0" borderId="9" xfId="2" applyNumberFormat="1" applyFont="1" applyFill="1" applyBorder="1"/>
    <xf numFmtId="164" fontId="1" fillId="0" borderId="9" xfId="2" applyNumberFormat="1" applyFont="1" applyFill="1" applyBorder="1"/>
    <xf numFmtId="0" fontId="3" fillId="12" borderId="9" xfId="0" applyFont="1" applyFill="1" applyBorder="1"/>
    <xf numFmtId="3" fontId="3" fillId="12" borderId="10" xfId="2" applyNumberFormat="1" applyFont="1" applyFill="1" applyBorder="1" applyAlignment="1">
      <alignment horizontal="center"/>
    </xf>
    <xf numFmtId="0" fontId="3" fillId="0" borderId="11" xfId="0" applyFont="1" applyBorder="1"/>
    <xf numFmtId="0" fontId="0" fillId="2" borderId="9" xfId="0" applyFill="1" applyBorder="1"/>
    <xf numFmtId="3" fontId="0" fillId="2" borderId="10" xfId="2" applyNumberFormat="1" applyFont="1" applyFill="1" applyBorder="1" applyAlignment="1">
      <alignment horizontal="center"/>
    </xf>
    <xf numFmtId="0" fontId="3" fillId="2" borderId="9" xfId="0" applyFont="1" applyFill="1" applyBorder="1"/>
    <xf numFmtId="3" fontId="3" fillId="2" borderId="10" xfId="2" applyNumberFormat="1" applyFont="1" applyFill="1" applyBorder="1" applyAlignment="1">
      <alignment horizontal="center"/>
    </xf>
    <xf numFmtId="164" fontId="3" fillId="4" borderId="10" xfId="2" applyNumberFormat="1" applyFont="1" applyFill="1" applyBorder="1" applyAlignment="1">
      <alignment horizontal="center"/>
    </xf>
    <xf numFmtId="0" fontId="1" fillId="2" borderId="9" xfId="0" applyFont="1" applyFill="1" applyBorder="1"/>
    <xf numFmtId="3" fontId="1" fillId="2" borderId="10" xfId="14" applyNumberFormat="1" applyFont="1" applyFill="1" applyBorder="1" applyAlignment="1">
      <alignment horizontal="center"/>
    </xf>
    <xf numFmtId="9" fontId="1" fillId="2" borderId="10" xfId="14" applyFont="1" applyFill="1" applyBorder="1" applyAlignment="1">
      <alignment horizontal="center"/>
    </xf>
    <xf numFmtId="10" fontId="3" fillId="4" borderId="10" xfId="14" applyNumberFormat="1" applyFont="1" applyFill="1" applyBorder="1" applyAlignment="1">
      <alignment horizontal="center"/>
    </xf>
    <xf numFmtId="9" fontId="3" fillId="2" borderId="10" xfId="14" applyFont="1" applyFill="1" applyBorder="1" applyAlignment="1">
      <alignment horizontal="center"/>
    </xf>
    <xf numFmtId="0" fontId="1" fillId="2" borderId="11" xfId="0" applyFont="1" applyFill="1" applyBorder="1"/>
    <xf numFmtId="9" fontId="1" fillId="2" borderId="12" xfId="14" applyFont="1" applyFill="1" applyBorder="1" applyAlignment="1">
      <alignment horizontal="center"/>
    </xf>
    <xf numFmtId="9" fontId="1" fillId="2" borderId="13" xfId="14" applyFont="1" applyFill="1" applyBorder="1" applyAlignment="1">
      <alignment horizontal="center"/>
    </xf>
    <xf numFmtId="3" fontId="9" fillId="0" borderId="0" xfId="0" applyNumberFormat="1" applyFont="1"/>
    <xf numFmtId="3" fontId="9" fillId="5" borderId="0" xfId="0" applyNumberFormat="1" applyFont="1" applyFill="1"/>
    <xf numFmtId="0" fontId="0" fillId="5" borderId="57" xfId="0" applyFill="1" applyBorder="1" applyAlignment="1">
      <alignment vertical="center"/>
    </xf>
    <xf numFmtId="3" fontId="0" fillId="5" borderId="58" xfId="0" applyNumberFormat="1" applyFill="1" applyBorder="1" applyAlignment="1">
      <alignment vertical="center"/>
    </xf>
    <xf numFmtId="3" fontId="0" fillId="5" borderId="59" xfId="0" applyNumberFormat="1" applyFill="1" applyBorder="1" applyAlignment="1">
      <alignment vertical="center"/>
    </xf>
    <xf numFmtId="0" fontId="0" fillId="5" borderId="60" xfId="0" applyFill="1" applyBorder="1" applyAlignment="1">
      <alignment vertical="center"/>
    </xf>
    <xf numFmtId="164" fontId="0" fillId="5" borderId="56" xfId="27" applyNumberFormat="1" applyFont="1" applyFill="1" applyBorder="1" applyAlignment="1">
      <alignment vertical="center"/>
    </xf>
    <xf numFmtId="0" fontId="12" fillId="13" borderId="61" xfId="0" applyFont="1" applyFill="1" applyBorder="1" applyAlignment="1">
      <alignment vertical="center"/>
    </xf>
    <xf numFmtId="0" fontId="12" fillId="5" borderId="61" xfId="0" applyFont="1" applyFill="1" applyBorder="1" applyAlignment="1">
      <alignment vertical="center"/>
    </xf>
    <xf numFmtId="0" fontId="12" fillId="13" borderId="2" xfId="0" applyFont="1" applyFill="1" applyBorder="1" applyAlignment="1">
      <alignment horizontal="center" vertical="center"/>
    </xf>
    <xf numFmtId="0" fontId="1" fillId="13" borderId="19" xfId="14" applyNumberFormat="1" applyFont="1" applyFill="1" applyBorder="1" applyAlignment="1">
      <alignment horizontal="center"/>
    </xf>
    <xf numFmtId="0" fontId="1" fillId="13" borderId="26" xfId="14" applyNumberFormat="1" applyFont="1" applyFill="1" applyBorder="1" applyAlignment="1">
      <alignment horizontal="center"/>
    </xf>
    <xf numFmtId="0" fontId="1" fillId="13" borderId="29" xfId="14" applyNumberFormat="1" applyFont="1" applyFill="1" applyBorder="1" applyAlignment="1">
      <alignment horizontal="center"/>
    </xf>
    <xf numFmtId="167" fontId="10" fillId="13" borderId="46" xfId="2" applyNumberFormat="1" applyFont="1" applyFill="1" applyBorder="1" applyAlignment="1">
      <alignment horizontal="center"/>
    </xf>
    <xf numFmtId="164" fontId="1" fillId="13" borderId="50" xfId="2" applyNumberFormat="1" applyFont="1" applyFill="1" applyBorder="1" applyAlignment="1">
      <alignment horizontal="center"/>
    </xf>
    <xf numFmtId="164" fontId="1" fillId="13" borderId="3" xfId="2" applyNumberFormat="1" applyFont="1" applyFill="1" applyBorder="1" applyAlignment="1">
      <alignment horizontal="center"/>
    </xf>
    <xf numFmtId="164" fontId="1" fillId="13" borderId="51" xfId="2" applyNumberFormat="1" applyFont="1" applyFill="1" applyBorder="1" applyAlignment="1">
      <alignment horizontal="center"/>
    </xf>
    <xf numFmtId="164" fontId="1" fillId="13" borderId="12" xfId="2" applyNumberFormat="1" applyFont="1" applyFill="1" applyBorder="1" applyAlignment="1">
      <alignment horizontal="center"/>
    </xf>
    <xf numFmtId="3" fontId="7" fillId="13" borderId="5" xfId="14" applyNumberFormat="1" applyFont="1" applyFill="1" applyBorder="1" applyAlignment="1">
      <alignment horizontal="center"/>
    </xf>
    <xf numFmtId="9" fontId="7" fillId="13" borderId="4" xfId="14" applyFont="1" applyFill="1" applyBorder="1" applyAlignment="1">
      <alignment horizontal="center"/>
    </xf>
    <xf numFmtId="1" fontId="7" fillId="13" borderId="4" xfId="14" applyNumberFormat="1" applyFont="1" applyFill="1" applyBorder="1" applyAlignment="1">
      <alignment horizontal="center"/>
    </xf>
    <xf numFmtId="0" fontId="1" fillId="13" borderId="9" xfId="11" applyFill="1" applyBorder="1" applyAlignment="1">
      <alignment horizontal="left"/>
    </xf>
    <xf numFmtId="3" fontId="19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3" fontId="21" fillId="2" borderId="3" xfId="14" applyNumberFormat="1" applyFont="1" applyFill="1" applyBorder="1" applyAlignment="1">
      <alignment horizontal="center" vertical="center"/>
    </xf>
    <xf numFmtId="3" fontId="21" fillId="2" borderId="10" xfId="14" applyNumberFormat="1" applyFont="1" applyFill="1" applyBorder="1" applyAlignment="1">
      <alignment horizontal="center" vertical="center"/>
    </xf>
    <xf numFmtId="0" fontId="22" fillId="5" borderId="0" xfId="0" applyFont="1" applyFill="1" applyAlignment="1">
      <alignment vertical="center"/>
    </xf>
    <xf numFmtId="164" fontId="16" fillId="0" borderId="54" xfId="2" applyNumberFormat="1" applyFont="1" applyFill="1" applyBorder="1"/>
    <xf numFmtId="0" fontId="23" fillId="14" borderId="27" xfId="0" applyFont="1" applyFill="1" applyBorder="1" applyAlignment="1">
      <alignment horizontal="center"/>
    </xf>
    <xf numFmtId="164" fontId="1" fillId="0" borderId="62" xfId="2" applyNumberFormat="1" applyFont="1" applyFill="1" applyBorder="1"/>
    <xf numFmtId="0" fontId="24" fillId="15" borderId="63" xfId="0" applyFont="1" applyFill="1" applyBorder="1"/>
    <xf numFmtId="164" fontId="24" fillId="15" borderId="63" xfId="27" applyNumberFormat="1" applyFont="1" applyFill="1" applyBorder="1"/>
    <xf numFmtId="164" fontId="24" fillId="15" borderId="64" xfId="27" applyNumberFormat="1" applyFont="1" applyFill="1" applyBorder="1"/>
    <xf numFmtId="49" fontId="1" fillId="0" borderId="62" xfId="2" applyNumberFormat="1" applyFont="1" applyFill="1" applyBorder="1"/>
    <xf numFmtId="164" fontId="16" fillId="0" borderId="62" xfId="2" applyNumberFormat="1" applyFont="1" applyFill="1" applyBorder="1"/>
    <xf numFmtId="0" fontId="24" fillId="15" borderId="64" xfId="0" applyFont="1" applyFill="1" applyBorder="1"/>
    <xf numFmtId="164" fontId="16" fillId="16" borderId="65" xfId="2" applyNumberFormat="1" applyFont="1" applyFill="1" applyBorder="1"/>
    <xf numFmtId="0" fontId="24" fillId="16" borderId="66" xfId="0" applyFont="1" applyFill="1" applyBorder="1"/>
    <xf numFmtId="0" fontId="24" fillId="16" borderId="67" xfId="0" applyFont="1" applyFill="1" applyBorder="1"/>
    <xf numFmtId="164" fontId="24" fillId="15" borderId="63" xfId="0" applyNumberFormat="1" applyFont="1" applyFill="1" applyBorder="1"/>
    <xf numFmtId="0" fontId="3" fillId="4" borderId="46" xfId="0" applyFont="1" applyFill="1" applyBorder="1"/>
    <xf numFmtId="0" fontId="3" fillId="4" borderId="68" xfId="0" applyFont="1" applyFill="1" applyBorder="1"/>
    <xf numFmtId="164" fontId="1" fillId="0" borderId="50" xfId="2" applyNumberFormat="1" applyFont="1" applyFill="1" applyBorder="1"/>
    <xf numFmtId="0" fontId="3" fillId="0" borderId="68" xfId="0" applyFont="1" applyBorder="1"/>
    <xf numFmtId="164" fontId="3" fillId="0" borderId="50" xfId="2" applyNumberFormat="1" applyFont="1" applyFill="1" applyBorder="1"/>
    <xf numFmtId="164" fontId="3" fillId="0" borderId="68" xfId="2" applyNumberFormat="1" applyFont="1" applyFill="1" applyBorder="1"/>
    <xf numFmtId="164" fontId="1" fillId="0" borderId="68" xfId="2" applyNumberFormat="1" applyFont="1" applyFill="1" applyBorder="1"/>
    <xf numFmtId="164" fontId="1" fillId="0" borderId="50" xfId="2" applyNumberFormat="1" applyFont="1" applyFill="1" applyBorder="1" applyAlignment="1">
      <alignment horizontal="right"/>
    </xf>
    <xf numFmtId="3" fontId="3" fillId="2" borderId="46" xfId="0" applyNumberFormat="1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164" fontId="3" fillId="0" borderId="69" xfId="0" applyNumberFormat="1" applyFont="1" applyBorder="1" applyAlignment="1">
      <alignment horizontal="center"/>
    </xf>
    <xf numFmtId="0" fontId="19" fillId="5" borderId="0" xfId="0" applyFont="1" applyFill="1"/>
    <xf numFmtId="170" fontId="0" fillId="5" borderId="0" xfId="0" applyNumberFormat="1" applyFill="1" applyAlignment="1">
      <alignment horizontal="center"/>
    </xf>
    <xf numFmtId="3" fontId="7" fillId="5" borderId="24" xfId="14" applyNumberFormat="1" applyFont="1" applyFill="1" applyBorder="1" applyAlignment="1">
      <alignment horizontal="center"/>
    </xf>
    <xf numFmtId="3" fontId="1" fillId="6" borderId="2" xfId="14" applyNumberFormat="1" applyFont="1" applyFill="1" applyBorder="1" applyAlignment="1">
      <alignment horizontal="left"/>
    </xf>
    <xf numFmtId="3" fontId="7" fillId="13" borderId="2" xfId="14" applyNumberFormat="1" applyFont="1" applyFill="1" applyBorder="1" applyAlignment="1">
      <alignment horizontal="center"/>
    </xf>
    <xf numFmtId="10" fontId="7" fillId="13" borderId="2" xfId="14" applyNumberFormat="1" applyFont="1" applyFill="1" applyBorder="1" applyAlignment="1">
      <alignment horizontal="center"/>
    </xf>
    <xf numFmtId="167" fontId="10" fillId="2" borderId="22" xfId="2" applyNumberFormat="1" applyFont="1" applyFill="1" applyBorder="1" applyAlignment="1">
      <alignment horizontal="center"/>
    </xf>
    <xf numFmtId="167" fontId="10" fillId="13" borderId="7" xfId="2" applyNumberFormat="1" applyFont="1" applyFill="1" applyBorder="1" applyAlignment="1">
      <alignment horizontal="center"/>
    </xf>
    <xf numFmtId="164" fontId="1" fillId="13" borderId="17" xfId="2" applyNumberFormat="1" applyFont="1" applyFill="1" applyBorder="1" applyAlignment="1">
      <alignment horizontal="center"/>
    </xf>
    <xf numFmtId="164" fontId="1" fillId="13" borderId="18" xfId="2" applyNumberFormat="1" applyFont="1" applyFill="1" applyBorder="1" applyAlignment="1">
      <alignment horizontal="center"/>
    </xf>
    <xf numFmtId="164" fontId="1" fillId="13" borderId="17" xfId="2" applyNumberFormat="1" applyFont="1" applyFill="1" applyBorder="1" applyAlignment="1">
      <alignment horizontal="right"/>
    </xf>
    <xf numFmtId="3" fontId="1" fillId="13" borderId="17" xfId="2" applyNumberFormat="1" applyFont="1" applyFill="1" applyBorder="1" applyAlignment="1">
      <alignment horizontal="right"/>
    </xf>
    <xf numFmtId="3" fontId="1" fillId="13" borderId="18" xfId="2" applyNumberFormat="1" applyFont="1" applyFill="1" applyBorder="1" applyAlignment="1">
      <alignment horizontal="right"/>
    </xf>
    <xf numFmtId="0" fontId="25" fillId="5" borderId="0" xfId="0" applyFont="1" applyFill="1" applyAlignment="1">
      <alignment vertical="center"/>
    </xf>
    <xf numFmtId="3" fontId="3" fillId="5" borderId="0" xfId="11" applyNumberFormat="1" applyFont="1" applyFill="1"/>
    <xf numFmtId="0" fontId="12" fillId="17" borderId="2" xfId="0" applyFont="1" applyFill="1" applyBorder="1" applyAlignment="1">
      <alignment horizontal="center" vertical="center"/>
    </xf>
    <xf numFmtId="0" fontId="1" fillId="5" borderId="11" xfId="11" applyFill="1" applyBorder="1" applyAlignment="1">
      <alignment horizontal="left" indent="1"/>
    </xf>
    <xf numFmtId="3" fontId="7" fillId="13" borderId="70" xfId="14" applyNumberFormat="1" applyFont="1" applyFill="1" applyBorder="1" applyAlignment="1">
      <alignment horizontal="center"/>
    </xf>
    <xf numFmtId="10" fontId="7" fillId="13" borderId="71" xfId="14" applyNumberFormat="1" applyFont="1" applyFill="1" applyBorder="1" applyAlignment="1">
      <alignment horizontal="center"/>
    </xf>
    <xf numFmtId="0" fontId="26" fillId="7" borderId="6" xfId="11" applyFont="1" applyFill="1" applyBorder="1" applyAlignment="1">
      <alignment vertical="center"/>
    </xf>
    <xf numFmtId="1" fontId="27" fillId="3" borderId="2" xfId="11" applyNumberFormat="1" applyFont="1" applyFill="1" applyBorder="1" applyAlignment="1">
      <alignment horizontal="center"/>
    </xf>
    <xf numFmtId="167" fontId="28" fillId="2" borderId="46" xfId="2" applyNumberFormat="1" applyFont="1" applyFill="1" applyBorder="1" applyAlignment="1">
      <alignment horizontal="center"/>
    </xf>
    <xf numFmtId="167" fontId="28" fillId="2" borderId="30" xfId="2" applyNumberFormat="1" applyFont="1" applyFill="1" applyBorder="1" applyAlignment="1">
      <alignment horizontal="center"/>
    </xf>
    <xf numFmtId="167" fontId="28" fillId="13" borderId="34" xfId="2" applyNumberFormat="1" applyFont="1" applyFill="1" applyBorder="1" applyAlignment="1">
      <alignment horizontal="center"/>
    </xf>
    <xf numFmtId="167" fontId="28" fillId="13" borderId="35" xfId="2" applyNumberFormat="1" applyFont="1" applyFill="1" applyBorder="1" applyAlignment="1">
      <alignment horizontal="center"/>
    </xf>
    <xf numFmtId="0" fontId="1" fillId="5" borderId="28" xfId="11" applyFill="1" applyBorder="1" applyAlignment="1">
      <alignment horizontal="left"/>
    </xf>
    <xf numFmtId="167" fontId="28" fillId="2" borderId="47" xfId="2" applyNumberFormat="1" applyFont="1" applyFill="1" applyBorder="1" applyAlignment="1">
      <alignment horizontal="center"/>
    </xf>
    <xf numFmtId="167" fontId="28" fillId="2" borderId="48" xfId="2" applyNumberFormat="1" applyFont="1" applyFill="1" applyBorder="1" applyAlignment="1">
      <alignment horizontal="center"/>
    </xf>
    <xf numFmtId="0" fontId="1" fillId="5" borderId="11" xfId="11" applyFill="1" applyBorder="1" applyAlignment="1">
      <alignment horizontal="left"/>
    </xf>
    <xf numFmtId="3" fontId="1" fillId="13" borderId="26" xfId="14" applyNumberFormat="1" applyFont="1" applyFill="1" applyBorder="1" applyAlignment="1">
      <alignment horizontal="center"/>
    </xf>
    <xf numFmtId="1" fontId="1" fillId="2" borderId="2" xfId="14" applyNumberFormat="1" applyFont="1" applyFill="1" applyBorder="1" applyAlignment="1">
      <alignment horizontal="center"/>
    </xf>
    <xf numFmtId="164" fontId="1" fillId="13" borderId="26" xfId="27" applyNumberFormat="1" applyFont="1" applyFill="1" applyBorder="1" applyAlignment="1">
      <alignment horizontal="center" vertical="top"/>
    </xf>
    <xf numFmtId="164" fontId="1" fillId="5" borderId="29" xfId="27" applyNumberFormat="1" applyFont="1" applyFill="1" applyBorder="1" applyAlignment="1">
      <alignment horizontal="center" vertical="top"/>
    </xf>
    <xf numFmtId="0" fontId="5" fillId="7" borderId="6" xfId="11" applyFont="1" applyFill="1" applyBorder="1" applyAlignment="1">
      <alignment vertical="center"/>
    </xf>
    <xf numFmtId="3" fontId="7" fillId="5" borderId="25" xfId="14" applyNumberFormat="1" applyFont="1" applyFill="1" applyBorder="1" applyAlignment="1">
      <alignment horizontal="center"/>
    </xf>
    <xf numFmtId="3" fontId="1" fillId="5" borderId="11" xfId="2" applyNumberFormat="1" applyFont="1" applyFill="1" applyBorder="1" applyAlignment="1">
      <alignment horizontal="center"/>
    </xf>
    <xf numFmtId="3" fontId="1" fillId="5" borderId="25" xfId="2" applyNumberFormat="1" applyFont="1" applyFill="1" applyBorder="1" applyAlignment="1">
      <alignment horizontal="center"/>
    </xf>
    <xf numFmtId="0" fontId="3" fillId="4" borderId="6" xfId="11" applyFont="1" applyFill="1" applyBorder="1" applyAlignment="1">
      <alignment horizontal="center" vertical="center"/>
    </xf>
    <xf numFmtId="0" fontId="3" fillId="4" borderId="14" xfId="11" applyFont="1" applyFill="1" applyBorder="1" applyAlignment="1">
      <alignment horizontal="center" vertical="center"/>
    </xf>
    <xf numFmtId="3" fontId="1" fillId="5" borderId="7" xfId="2" applyNumberFormat="1" applyFont="1" applyFill="1" applyBorder="1" applyAlignment="1">
      <alignment horizontal="center"/>
    </xf>
    <xf numFmtId="3" fontId="1" fillId="5" borderId="30" xfId="2" applyNumberFormat="1" applyFont="1" applyFill="1" applyBorder="1" applyAlignment="1">
      <alignment horizontal="center"/>
    </xf>
    <xf numFmtId="3" fontId="1" fillId="5" borderId="9" xfId="2" applyNumberFormat="1" applyFont="1" applyFill="1" applyBorder="1" applyAlignment="1">
      <alignment horizontal="center"/>
    </xf>
    <xf numFmtId="3" fontId="1" fillId="5" borderId="24" xfId="2" applyNumberFormat="1" applyFont="1" applyFill="1" applyBorder="1" applyAlignment="1">
      <alignment horizontal="center"/>
    </xf>
  </cellXfs>
  <cellStyles count="28">
    <cellStyle name="Comma" xfId="27" builtinId="3"/>
    <cellStyle name="Comma 2" xfId="3" xr:uid="{00000000-0005-0000-0000-000001000000}"/>
    <cellStyle name="Comma 2 2" xfId="19" xr:uid="{00000000-0005-0000-0000-000002000000}"/>
    <cellStyle name="Comma 3" xfId="2" xr:uid="{00000000-0005-0000-0000-000003000000}"/>
    <cellStyle name="MLComma0" xfId="4" xr:uid="{00000000-0005-0000-0000-000004000000}"/>
    <cellStyle name="MLDollar0" xfId="5" xr:uid="{00000000-0005-0000-0000-000005000000}"/>
    <cellStyle name="MLEuro0" xfId="6" xr:uid="{00000000-0005-0000-0000-000006000000}"/>
    <cellStyle name="MLMultiple0" xfId="7" xr:uid="{00000000-0005-0000-0000-000007000000}"/>
    <cellStyle name="MLPercent0" xfId="8" xr:uid="{00000000-0005-0000-0000-000008000000}"/>
    <cellStyle name="MLPound0" xfId="9" xr:uid="{00000000-0005-0000-0000-000009000000}"/>
    <cellStyle name="MLYen0" xfId="10" xr:uid="{00000000-0005-0000-0000-00000A000000}"/>
    <cellStyle name="Normal" xfId="0" builtinId="0"/>
    <cellStyle name="Normal 2" xfId="11" xr:uid="{00000000-0005-0000-0000-00000C000000}"/>
    <cellStyle name="Normal 2 2" xfId="20" xr:uid="{00000000-0005-0000-0000-00000D000000}"/>
    <cellStyle name="Normal 3" xfId="12" xr:uid="{00000000-0005-0000-0000-00000E000000}"/>
    <cellStyle name="Normal 3 2" xfId="21" xr:uid="{00000000-0005-0000-0000-00000F000000}"/>
    <cellStyle name="Normal 4" xfId="17" xr:uid="{00000000-0005-0000-0000-000010000000}"/>
    <cellStyle name="Normal 4 2" xfId="23" xr:uid="{00000000-0005-0000-0000-000011000000}"/>
    <cellStyle name="Normal 5" xfId="18" xr:uid="{00000000-0005-0000-0000-000012000000}"/>
    <cellStyle name="Normal 6" xfId="24" xr:uid="{00000000-0005-0000-0000-000013000000}"/>
    <cellStyle name="Normal 7" xfId="25" xr:uid="{00000000-0005-0000-0000-000014000000}"/>
    <cellStyle name="Normal 8" xfId="1" xr:uid="{00000000-0005-0000-0000-000015000000}"/>
    <cellStyle name="Normal 9" xfId="26" xr:uid="{00000000-0005-0000-0000-000016000000}"/>
    <cellStyle name="Percent 2" xfId="14" xr:uid="{00000000-0005-0000-0000-000017000000}"/>
    <cellStyle name="Percent 2 2" xfId="22" xr:uid="{00000000-0005-0000-0000-000018000000}"/>
    <cellStyle name="Percent 3" xfId="13" xr:uid="{00000000-0005-0000-0000-000019000000}"/>
    <cellStyle name="Standard_Übersicht Haushalte" xfId="15" xr:uid="{00000000-0005-0000-0000-00001A000000}"/>
    <cellStyle name="t" xfId="16" xr:uid="{00000000-0005-0000-0000-00001B000000}"/>
  </cellStyles>
  <dxfs count="0"/>
  <tableStyles count="0" defaultTableStyle="TableStyleMedium2" defaultPivotStyle="PivotStyleLight16"/>
  <colors>
    <mruColors>
      <color rgb="FF3333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1915403</xdr:colOff>
      <xdr:row>8</xdr:row>
      <xdr:rowOff>108058</xdr:rowOff>
    </xdr:from>
    <xdr:to>
      <xdr:col>1</xdr:col>
      <xdr:colOff>2323618</xdr:colOff>
      <xdr:row>23</xdr:row>
      <xdr:rowOff>108055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2565344" y="1682485"/>
          <a:ext cx="408215" cy="2627776"/>
        </a:xfrm>
        <a:prstGeom prst="leftBrace">
          <a:avLst>
            <a:gd name="adj1" fmla="val 58333"/>
            <a:gd name="adj2" fmla="val 49533"/>
          </a:avLst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83;.%20&#1584;&#1610;&#1576;/Downloads/111215%20-%20Financial%20Analysis%20Templat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lides output"/>
      <sheetName val="Assumptions"/>
      <sheetName val="Revenues"/>
      <sheetName val="Manpower"/>
      <sheetName val="OPEX"/>
      <sheetName val="CAPEX &amp; Dep"/>
      <sheetName val="Working Capital"/>
      <sheetName val="IS &amp; CF Consolidated"/>
    </sheetNames>
    <sheetDataSet>
      <sheetData sheetId="0"/>
      <sheetData sheetId="1"/>
      <sheetData sheetId="2">
        <row r="116">
          <cell r="C116">
            <v>10</v>
          </cell>
        </row>
        <row r="118">
          <cell r="C118">
            <v>0.03</v>
          </cell>
        </row>
      </sheetData>
      <sheetData sheetId="3"/>
      <sheetData sheetId="4"/>
      <sheetData sheetId="5"/>
      <sheetData sheetId="6"/>
      <sheetData sheetId="7"/>
      <sheetData sheetId="8">
        <row r="7">
          <cell r="C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33FF"/>
  </sheetPr>
  <dimension ref="A1:T115"/>
  <sheetViews>
    <sheetView tabSelected="1" zoomScale="85" zoomScaleNormal="70" workbookViewId="0">
      <selection activeCell="F109" sqref="F109"/>
    </sheetView>
  </sheetViews>
  <sheetFormatPr defaultColWidth="9.140625" defaultRowHeight="14.25"/>
  <cols>
    <col min="1" max="1" width="9.140625" style="17"/>
    <col min="2" max="2" width="49.7109375" style="17" bestFit="1" customWidth="1"/>
    <col min="3" max="9" width="16.28515625" style="17" customWidth="1"/>
    <col min="10" max="16384" width="9.140625" style="17"/>
  </cols>
  <sheetData>
    <row r="1" spans="1:20" s="47" customFormat="1" ht="20.25">
      <c r="A1"/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3" spans="1:20" ht="15" thickBot="1">
      <c r="B3" s="18"/>
      <c r="H3" s="209"/>
      <c r="I3" s="17" t="s">
        <v>135</v>
      </c>
    </row>
    <row r="4" spans="1:20" ht="15" thickBot="1">
      <c r="B4" s="18" t="s">
        <v>44</v>
      </c>
      <c r="C4" s="211">
        <v>2024</v>
      </c>
    </row>
    <row r="5" spans="1:20">
      <c r="H5" s="210"/>
      <c r="I5" s="17" t="s">
        <v>136</v>
      </c>
    </row>
    <row r="7" spans="1:20" ht="21" thickBot="1">
      <c r="B7" s="19" t="s">
        <v>1</v>
      </c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20" ht="15" thickTop="1"/>
    <row r="9" spans="1:20" ht="15.75" thickBot="1">
      <c r="B9" s="20"/>
    </row>
    <row r="10" spans="1:20" ht="15" thickBot="1">
      <c r="B10" s="267" t="s">
        <v>165</v>
      </c>
      <c r="C10" s="11">
        <f>start_year</f>
        <v>2024</v>
      </c>
      <c r="D10" s="11">
        <f>C10+1</f>
        <v>2025</v>
      </c>
      <c r="E10" s="11">
        <f>D10+1</f>
        <v>2026</v>
      </c>
      <c r="F10" s="11">
        <f>E10+1</f>
        <v>2027</v>
      </c>
      <c r="G10" s="11">
        <f>F10+1</f>
        <v>2028</v>
      </c>
      <c r="H10" s="11">
        <f>G10+1</f>
        <v>2029</v>
      </c>
    </row>
    <row r="11" spans="1:20" ht="15.75" thickBot="1">
      <c r="B11" s="268" t="str">
        <f>B106</f>
        <v>Peer Reveiwed Manuscript</v>
      </c>
      <c r="C11" s="284">
        <f t="shared" ref="C11:H11" si="0">$C$109*(1+$D$109)^(C10-start_year)</f>
        <v>50</v>
      </c>
      <c r="D11" s="284">
        <f t="shared" si="0"/>
        <v>57.499999999999993</v>
      </c>
      <c r="E11" s="284">
        <f t="shared" si="0"/>
        <v>66.124999999999986</v>
      </c>
      <c r="F11" s="284">
        <f t="shared" si="0"/>
        <v>76.043749999999974</v>
      </c>
      <c r="G11" s="284">
        <f t="shared" si="0"/>
        <v>87.450312499999967</v>
      </c>
      <c r="H11" s="284">
        <f t="shared" si="0"/>
        <v>100.56785937499997</v>
      </c>
      <c r="I11" s="228"/>
    </row>
    <row r="12" spans="1:20" ht="15">
      <c r="B12" s="20"/>
    </row>
    <row r="13" spans="1:20" ht="15" thickBot="1">
      <c r="B13" s="21" t="s">
        <v>2</v>
      </c>
    </row>
    <row r="14" spans="1:20" ht="15" thickBot="1">
      <c r="B14" s="21" t="s">
        <v>47</v>
      </c>
      <c r="C14" s="11">
        <f>start_year</f>
        <v>2024</v>
      </c>
      <c r="D14" s="11">
        <f>C14+1</f>
        <v>2025</v>
      </c>
      <c r="E14" s="11">
        <f>D14+1</f>
        <v>2026</v>
      </c>
      <c r="F14" s="11">
        <f>E14+1</f>
        <v>2027</v>
      </c>
      <c r="G14" s="11">
        <f>F14+1</f>
        <v>2028</v>
      </c>
      <c r="H14" s="11">
        <f>G14+1</f>
        <v>2029</v>
      </c>
    </row>
    <row r="15" spans="1:20" ht="15.75" thickBot="1">
      <c r="B15" s="268" t="str">
        <f>B106</f>
        <v>Peer Reveiwed Manuscript</v>
      </c>
      <c r="C15" s="284">
        <f t="shared" ref="C15:H15" si="1">$C$106*(1+$D$106)^(C14-start_year)</f>
        <v>93750</v>
      </c>
      <c r="D15" s="284">
        <f t="shared" si="1"/>
        <v>96562.5</v>
      </c>
      <c r="E15" s="284">
        <f t="shared" si="1"/>
        <v>99459.375</v>
      </c>
      <c r="F15" s="284">
        <f t="shared" si="1"/>
        <v>102443.15625</v>
      </c>
      <c r="G15" s="284">
        <f t="shared" si="1"/>
        <v>105516.45093749999</v>
      </c>
      <c r="H15" s="284">
        <f t="shared" si="1"/>
        <v>108681.94446562498</v>
      </c>
      <c r="I15" s="228"/>
    </row>
    <row r="16" spans="1:20" ht="15">
      <c r="B16" s="20"/>
    </row>
    <row r="17" spans="2:12" ht="15.75" thickBot="1">
      <c r="B17" s="20"/>
    </row>
    <row r="18" spans="2:12" ht="15" thickBot="1">
      <c r="B18" s="267" t="s">
        <v>165</v>
      </c>
      <c r="C18" s="11">
        <f>start_year</f>
        <v>2024</v>
      </c>
      <c r="D18" s="11">
        <f>C18+1</f>
        <v>2025</v>
      </c>
      <c r="E18" s="11">
        <f>D18+1</f>
        <v>2026</v>
      </c>
      <c r="F18" s="11">
        <f>E18+1</f>
        <v>2027</v>
      </c>
      <c r="G18" s="11">
        <f>F18+1</f>
        <v>2028</v>
      </c>
      <c r="H18" s="11">
        <f>G18+1</f>
        <v>2029</v>
      </c>
    </row>
    <row r="19" spans="2:12" ht="15.75" thickBot="1">
      <c r="B19" s="268" t="str">
        <f>B106</f>
        <v>Peer Reveiwed Manuscript</v>
      </c>
      <c r="C19" s="284">
        <f t="shared" ref="C19:H19" si="2">$C$115*(1+$D$115)^(C18-start_year)</f>
        <v>50</v>
      </c>
      <c r="D19" s="284">
        <f t="shared" si="2"/>
        <v>57.499999999999993</v>
      </c>
      <c r="E19" s="284">
        <f t="shared" si="2"/>
        <v>66.124999999999986</v>
      </c>
      <c r="F19" s="284">
        <f t="shared" si="2"/>
        <v>76.043749999999974</v>
      </c>
      <c r="G19" s="284">
        <f t="shared" si="2"/>
        <v>87.450312499999967</v>
      </c>
      <c r="H19" s="284">
        <f t="shared" si="2"/>
        <v>100.56785937499997</v>
      </c>
      <c r="I19" s="228"/>
    </row>
    <row r="20" spans="2:12" ht="15">
      <c r="B20" s="20"/>
    </row>
    <row r="21" spans="2:12" ht="15" thickBot="1">
      <c r="B21" s="21"/>
    </row>
    <row r="22" spans="2:12" ht="15" thickBot="1">
      <c r="B22" s="21" t="s">
        <v>47</v>
      </c>
      <c r="C22" s="11">
        <f>start_year</f>
        <v>2024</v>
      </c>
      <c r="D22" s="11">
        <f>C22+1</f>
        <v>2025</v>
      </c>
      <c r="E22" s="11">
        <f>D22+1</f>
        <v>2026</v>
      </c>
      <c r="F22" s="11">
        <f>E22+1</f>
        <v>2027</v>
      </c>
      <c r="G22" s="11">
        <f>F22+1</f>
        <v>2028</v>
      </c>
      <c r="H22" s="11">
        <f>G22+1</f>
        <v>2029</v>
      </c>
    </row>
    <row r="23" spans="2:12" ht="15.75" thickBot="1">
      <c r="B23" s="268" t="str">
        <f>B106</f>
        <v>Peer Reveiwed Manuscript</v>
      </c>
      <c r="C23" s="284">
        <f t="shared" ref="C23:H23" si="3">$C$112*(1+$D$112)^(C22-start_year)</f>
        <v>18800</v>
      </c>
      <c r="D23" s="284">
        <f t="shared" si="3"/>
        <v>19364</v>
      </c>
      <c r="E23" s="284">
        <f t="shared" si="3"/>
        <v>19944.919999999998</v>
      </c>
      <c r="F23" s="284">
        <f t="shared" si="3"/>
        <v>20543.267599999999</v>
      </c>
      <c r="G23" s="284">
        <f t="shared" si="3"/>
        <v>21159.565627999997</v>
      </c>
      <c r="H23" s="284">
        <f t="shared" si="3"/>
        <v>21794.352596839995</v>
      </c>
      <c r="I23" s="228"/>
    </row>
    <row r="25" spans="2:12" ht="21" thickBot="1">
      <c r="B25" s="19" t="s">
        <v>3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spans="2:12" ht="15.75" thickTop="1" thickBot="1"/>
    <row r="27" spans="2:12" ht="16.5" thickBot="1">
      <c r="B27" s="1" t="s">
        <v>4</v>
      </c>
      <c r="C27" s="11">
        <f>start_year</f>
        <v>2024</v>
      </c>
      <c r="D27" s="11">
        <f>C27+1</f>
        <v>2025</v>
      </c>
      <c r="E27" s="11">
        <f>D27+1</f>
        <v>2026</v>
      </c>
      <c r="F27" s="11">
        <f>E27+1</f>
        <v>2027</v>
      </c>
      <c r="G27" s="11">
        <f>F27+1</f>
        <v>2028</v>
      </c>
      <c r="H27" s="11">
        <f>G27+1</f>
        <v>2029</v>
      </c>
    </row>
    <row r="28" spans="2:12">
      <c r="B28" s="22" t="s">
        <v>5</v>
      </c>
      <c r="C28" s="212">
        <v>30</v>
      </c>
      <c r="D28" s="212">
        <v>30</v>
      </c>
      <c r="E28" s="212">
        <v>30</v>
      </c>
      <c r="F28" s="212">
        <v>30</v>
      </c>
      <c r="G28" s="212">
        <v>30</v>
      </c>
      <c r="H28" s="212">
        <v>30</v>
      </c>
    </row>
    <row r="29" spans="2:12">
      <c r="B29" s="23" t="s">
        <v>6</v>
      </c>
      <c r="C29" s="213">
        <v>30</v>
      </c>
      <c r="D29" s="213">
        <v>30</v>
      </c>
      <c r="E29" s="213">
        <v>30</v>
      </c>
      <c r="F29" s="213">
        <v>30</v>
      </c>
      <c r="G29" s="213">
        <v>30</v>
      </c>
      <c r="H29" s="213">
        <v>30</v>
      </c>
    </row>
    <row r="30" spans="2:12">
      <c r="B30" s="23" t="s">
        <v>7</v>
      </c>
      <c r="C30" s="213">
        <v>30</v>
      </c>
      <c r="D30" s="213">
        <v>30</v>
      </c>
      <c r="E30" s="213">
        <v>30</v>
      </c>
      <c r="F30" s="213">
        <v>30</v>
      </c>
      <c r="G30" s="213">
        <v>30</v>
      </c>
      <c r="H30" s="213">
        <v>30</v>
      </c>
    </row>
    <row r="31" spans="2:12">
      <c r="B31" s="23" t="s">
        <v>8</v>
      </c>
      <c r="C31" s="213">
        <v>120</v>
      </c>
      <c r="D31" s="213">
        <v>120</v>
      </c>
      <c r="E31" s="213">
        <v>120</v>
      </c>
      <c r="F31" s="213">
        <v>120</v>
      </c>
      <c r="G31" s="213">
        <v>120</v>
      </c>
      <c r="H31" s="213">
        <v>120</v>
      </c>
    </row>
    <row r="32" spans="2:12" ht="15" thickBot="1">
      <c r="B32" s="24" t="s">
        <v>9</v>
      </c>
      <c r="C32" s="214">
        <v>30</v>
      </c>
      <c r="D32" s="214">
        <v>30</v>
      </c>
      <c r="E32" s="214">
        <v>30</v>
      </c>
      <c r="F32" s="214">
        <v>30</v>
      </c>
      <c r="G32" s="214">
        <v>30</v>
      </c>
      <c r="H32" s="214">
        <v>30</v>
      </c>
    </row>
    <row r="33" spans="2:10" ht="15" thickBot="1"/>
    <row r="34" spans="2:10" ht="15.75" thickBot="1">
      <c r="B34" s="273" t="s">
        <v>10</v>
      </c>
      <c r="C34" s="274">
        <f>start_year</f>
        <v>2024</v>
      </c>
      <c r="D34" s="274">
        <f>C34+1</f>
        <v>2025</v>
      </c>
      <c r="E34" s="274">
        <f>D34+1</f>
        <v>2026</v>
      </c>
      <c r="F34" s="274">
        <f>E34+1</f>
        <v>2027</v>
      </c>
      <c r="G34" s="274">
        <f>F34+1</f>
        <v>2028</v>
      </c>
      <c r="H34" s="274">
        <f>G34+1</f>
        <v>2029</v>
      </c>
    </row>
    <row r="35" spans="2:10">
      <c r="B35" s="35" t="s">
        <v>59</v>
      </c>
      <c r="C35" s="275"/>
      <c r="D35" s="275"/>
      <c r="E35" s="275"/>
      <c r="F35" s="275"/>
      <c r="G35" s="275"/>
      <c r="H35" s="276"/>
    </row>
    <row r="36" spans="2:10" ht="15">
      <c r="B36" s="26" t="s">
        <v>163</v>
      </c>
      <c r="C36" s="277">
        <v>1</v>
      </c>
      <c r="D36" s="277">
        <v>1</v>
      </c>
      <c r="E36" s="277">
        <v>1</v>
      </c>
      <c r="F36" s="277">
        <v>1</v>
      </c>
      <c r="G36" s="277">
        <v>1</v>
      </c>
      <c r="H36" s="277">
        <v>1</v>
      </c>
      <c r="I36" s="228"/>
    </row>
    <row r="37" spans="2:10">
      <c r="B37" s="26" t="s">
        <v>11</v>
      </c>
      <c r="C37" s="277">
        <v>3</v>
      </c>
      <c r="D37" s="277">
        <v>3</v>
      </c>
      <c r="E37" s="277">
        <v>3</v>
      </c>
      <c r="F37" s="277">
        <v>3</v>
      </c>
      <c r="G37" s="277">
        <v>3</v>
      </c>
      <c r="H37" s="277">
        <v>3</v>
      </c>
    </row>
    <row r="38" spans="2:10" ht="15" thickBot="1">
      <c r="B38" s="26" t="s">
        <v>168</v>
      </c>
      <c r="C38" s="277">
        <v>2</v>
      </c>
      <c r="D38" s="277">
        <v>2</v>
      </c>
      <c r="E38" s="277">
        <v>2</v>
      </c>
      <c r="F38" s="277">
        <v>2</v>
      </c>
      <c r="G38" s="277">
        <v>2</v>
      </c>
      <c r="H38" s="277">
        <v>2</v>
      </c>
    </row>
    <row r="39" spans="2:10">
      <c r="B39" s="35" t="s">
        <v>60</v>
      </c>
      <c r="C39" s="275"/>
      <c r="D39" s="275"/>
      <c r="E39" s="275"/>
      <c r="F39" s="275"/>
      <c r="G39" s="275"/>
      <c r="H39" s="276"/>
    </row>
    <row r="40" spans="2:10" ht="15" thickBot="1">
      <c r="B40" s="112" t="s">
        <v>61</v>
      </c>
      <c r="C40" s="278">
        <v>2</v>
      </c>
      <c r="D40" s="278">
        <v>3</v>
      </c>
      <c r="E40" s="278">
        <v>3</v>
      </c>
      <c r="F40" s="278">
        <v>3</v>
      </c>
      <c r="G40" s="278">
        <v>3</v>
      </c>
      <c r="H40" s="278">
        <v>3</v>
      </c>
    </row>
    <row r="41" spans="2:10" ht="15" customHeight="1">
      <c r="B41" s="279" t="s">
        <v>12</v>
      </c>
      <c r="C41" s="280"/>
      <c r="D41" s="280"/>
      <c r="E41" s="280"/>
      <c r="F41" s="280"/>
      <c r="G41" s="280"/>
      <c r="H41" s="281"/>
    </row>
    <row r="42" spans="2:10">
      <c r="B42" s="26" t="s">
        <v>161</v>
      </c>
      <c r="C42" s="277">
        <v>2</v>
      </c>
      <c r="D42" s="277">
        <v>2</v>
      </c>
      <c r="E42" s="277">
        <v>2</v>
      </c>
      <c r="F42" s="277">
        <v>2</v>
      </c>
      <c r="G42" s="277">
        <v>2</v>
      </c>
      <c r="H42" s="277">
        <v>2</v>
      </c>
    </row>
    <row r="43" spans="2:10">
      <c r="B43" s="26" t="s">
        <v>159</v>
      </c>
      <c r="C43" s="277">
        <v>2</v>
      </c>
      <c r="D43" s="277">
        <v>2</v>
      </c>
      <c r="E43" s="277">
        <v>2</v>
      </c>
      <c r="F43" s="277">
        <v>2</v>
      </c>
      <c r="G43" s="277">
        <v>2</v>
      </c>
      <c r="H43" s="277">
        <v>2</v>
      </c>
    </row>
    <row r="44" spans="2:10" ht="15" thickBot="1">
      <c r="B44" s="282" t="s">
        <v>160</v>
      </c>
      <c r="C44" s="278">
        <v>2</v>
      </c>
      <c r="D44" s="278">
        <v>2</v>
      </c>
      <c r="E44" s="278">
        <v>2</v>
      </c>
      <c r="F44" s="278">
        <v>2</v>
      </c>
      <c r="G44" s="278">
        <v>2</v>
      </c>
      <c r="H44" s="278">
        <v>2</v>
      </c>
    </row>
    <row r="45" spans="2:10" ht="15" thickBot="1"/>
    <row r="46" spans="2:10" ht="16.5" thickBot="1">
      <c r="B46" s="122" t="s">
        <v>13</v>
      </c>
      <c r="C46" s="121" t="s">
        <v>36</v>
      </c>
      <c r="D46" s="9" t="s">
        <v>37</v>
      </c>
      <c r="E46" s="9" t="s">
        <v>38</v>
      </c>
      <c r="G46" s="9" t="s">
        <v>36</v>
      </c>
      <c r="H46" s="9" t="s">
        <v>37</v>
      </c>
      <c r="I46" s="9" t="s">
        <v>38</v>
      </c>
    </row>
    <row r="47" spans="2:10" ht="15.75" thickBot="1">
      <c r="B47" s="123" t="s">
        <v>140</v>
      </c>
      <c r="C47" s="119"/>
      <c r="D47" s="119"/>
      <c r="E47" s="120"/>
      <c r="G47" s="260"/>
      <c r="H47" s="119"/>
      <c r="I47" s="120"/>
      <c r="J47" s="228"/>
    </row>
    <row r="48" spans="2:10">
      <c r="B48" s="124" t="str">
        <f t="shared" ref="B48:B57" si="4">B35</f>
        <v>G &amp; A</v>
      </c>
      <c r="C48" s="215"/>
      <c r="D48" s="215"/>
      <c r="E48" s="98"/>
      <c r="G48" s="261"/>
      <c r="H48" s="215"/>
      <c r="I48" s="98"/>
    </row>
    <row r="49" spans="2:9">
      <c r="B49" s="125" t="str">
        <f t="shared" si="4"/>
        <v>CEO ( Journal Manager)</v>
      </c>
      <c r="C49" s="216">
        <f>G49*$F$52</f>
        <v>420000</v>
      </c>
      <c r="D49" s="217">
        <f>H49*$F$52</f>
        <v>180000</v>
      </c>
      <c r="E49" s="27">
        <f>SUM(C49:D49)</f>
        <v>600000</v>
      </c>
      <c r="G49" s="262">
        <v>35000</v>
      </c>
      <c r="H49" s="217">
        <v>15000</v>
      </c>
      <c r="I49" s="27">
        <f>SUM(G49:H49)</f>
        <v>50000</v>
      </c>
    </row>
    <row r="50" spans="2:9">
      <c r="B50" s="125" t="str">
        <f t="shared" si="4"/>
        <v>Admin Staff (Except S&amp;M)</v>
      </c>
      <c r="C50" s="216">
        <f t="shared" ref="C50:C57" si="5">G50*$F$52</f>
        <v>144000</v>
      </c>
      <c r="D50" s="217">
        <f t="shared" ref="D50:D57" si="6">H50*$F$52</f>
        <v>66000</v>
      </c>
      <c r="E50" s="27">
        <f t="shared" ref="E50:E56" si="7">SUM(C50:D50)</f>
        <v>210000</v>
      </c>
      <c r="G50" s="262">
        <v>12000</v>
      </c>
      <c r="H50" s="217">
        <v>5500</v>
      </c>
      <c r="I50" s="27">
        <f t="shared" ref="I50:I57" si="8">SUM(G50:H50)</f>
        <v>17500</v>
      </c>
    </row>
    <row r="51" spans="2:9" ht="15" thickBot="1">
      <c r="B51" s="126" t="str">
        <f t="shared" si="4"/>
        <v>Other support ( Lawyer, Bioethicist)</v>
      </c>
      <c r="C51" s="216">
        <f>G51*$F$52</f>
        <v>144000</v>
      </c>
      <c r="D51" s="217">
        <f t="shared" si="6"/>
        <v>66000</v>
      </c>
      <c r="E51" s="28">
        <f t="shared" si="7"/>
        <v>210000</v>
      </c>
      <c r="G51" s="263">
        <v>12000</v>
      </c>
      <c r="H51" s="219">
        <v>5500</v>
      </c>
      <c r="I51" s="27">
        <f t="shared" si="8"/>
        <v>17500</v>
      </c>
    </row>
    <row r="52" spans="2:9" ht="15" thickBot="1">
      <c r="B52" s="127" t="str">
        <f t="shared" si="4"/>
        <v>S &amp; M</v>
      </c>
      <c r="C52" s="216"/>
      <c r="D52" s="217"/>
      <c r="E52" s="98"/>
      <c r="F52" s="269">
        <v>12</v>
      </c>
      <c r="G52" s="261"/>
      <c r="H52" s="215"/>
      <c r="I52" s="27"/>
    </row>
    <row r="53" spans="2:9" ht="15" thickBot="1">
      <c r="B53" s="128" t="str">
        <f t="shared" si="4"/>
        <v>S &amp; M staff</v>
      </c>
      <c r="C53" s="216">
        <f t="shared" si="5"/>
        <v>144000</v>
      </c>
      <c r="D53" s="217">
        <f t="shared" si="6"/>
        <v>66000</v>
      </c>
      <c r="E53" s="27">
        <f t="shared" si="7"/>
        <v>210000</v>
      </c>
      <c r="G53" s="264">
        <v>12000</v>
      </c>
      <c r="H53" s="217">
        <v>5500</v>
      </c>
      <c r="I53" s="27">
        <f t="shared" si="8"/>
        <v>17500</v>
      </c>
    </row>
    <row r="54" spans="2:9">
      <c r="B54" s="124" t="str">
        <f t="shared" si="4"/>
        <v>Direct Labor</v>
      </c>
      <c r="C54" s="216"/>
      <c r="D54" s="217"/>
      <c r="E54" s="98"/>
      <c r="G54" s="261"/>
      <c r="H54" s="215"/>
      <c r="I54" s="27"/>
    </row>
    <row r="55" spans="2:9">
      <c r="B55" s="125" t="str">
        <f t="shared" si="4"/>
        <v xml:space="preserve">Editor in Chief </v>
      </c>
      <c r="C55" s="216">
        <f>G55*$F$52*0</f>
        <v>0</v>
      </c>
      <c r="D55" s="217">
        <f>H55*$F$52*0</f>
        <v>0</v>
      </c>
      <c r="E55" s="27">
        <f t="shared" si="7"/>
        <v>0</v>
      </c>
      <c r="G55" s="265">
        <v>35000</v>
      </c>
      <c r="H55" s="217">
        <v>15000</v>
      </c>
      <c r="I55" s="27">
        <f t="shared" si="8"/>
        <v>50000</v>
      </c>
    </row>
    <row r="56" spans="2:9">
      <c r="B56" s="125" t="str">
        <f t="shared" si="4"/>
        <v>Coordinator</v>
      </c>
      <c r="C56" s="216">
        <f t="shared" si="5"/>
        <v>144000</v>
      </c>
      <c r="D56" s="217">
        <f t="shared" si="6"/>
        <v>66000</v>
      </c>
      <c r="E56" s="27">
        <f t="shared" si="7"/>
        <v>210000</v>
      </c>
      <c r="G56" s="265">
        <v>12000</v>
      </c>
      <c r="H56" s="217">
        <v>5500</v>
      </c>
      <c r="I56" s="27">
        <f t="shared" si="8"/>
        <v>17500</v>
      </c>
    </row>
    <row r="57" spans="2:9" ht="15" thickBot="1">
      <c r="B57" s="126" t="str">
        <f t="shared" si="4"/>
        <v>Language Editor</v>
      </c>
      <c r="C57" s="218">
        <f t="shared" si="5"/>
        <v>240000</v>
      </c>
      <c r="D57" s="219">
        <f t="shared" si="6"/>
        <v>96000</v>
      </c>
      <c r="E57" s="28">
        <f>SUM(C57:D57)</f>
        <v>336000</v>
      </c>
      <c r="G57" s="266">
        <v>20000</v>
      </c>
      <c r="H57" s="219">
        <v>8000</v>
      </c>
      <c r="I57" s="28">
        <f t="shared" si="8"/>
        <v>28000</v>
      </c>
    </row>
    <row r="58" spans="2:9">
      <c r="B58" s="115"/>
      <c r="C58" s="116"/>
      <c r="D58" s="117"/>
      <c r="E58" s="118"/>
    </row>
    <row r="59" spans="2:9" ht="15" thickBot="1"/>
    <row r="60" spans="2:9" ht="16.5" thickBot="1">
      <c r="B60" s="3" t="s">
        <v>141</v>
      </c>
      <c r="C60" s="12"/>
      <c r="D60" s="12"/>
      <c r="E60" s="12"/>
      <c r="F60" s="43"/>
      <c r="G60" s="228"/>
    </row>
    <row r="61" spans="2:9" ht="26.25" thickBot="1">
      <c r="B61" s="2"/>
      <c r="C61" s="13" t="s">
        <v>39</v>
      </c>
      <c r="D61" s="13" t="s">
        <v>40</v>
      </c>
      <c r="E61" s="291" t="s">
        <v>41</v>
      </c>
      <c r="F61" s="292"/>
    </row>
    <row r="62" spans="2:9">
      <c r="B62" s="29" t="s">
        <v>144</v>
      </c>
      <c r="C62" s="30"/>
      <c r="D62" s="31"/>
      <c r="E62" s="293"/>
      <c r="F62" s="294"/>
    </row>
    <row r="63" spans="2:9">
      <c r="B63" s="33" t="s">
        <v>15</v>
      </c>
      <c r="C63" s="220">
        <f>10000*Manpower!C61</f>
        <v>140000</v>
      </c>
      <c r="D63" s="221"/>
      <c r="E63" s="295"/>
      <c r="F63" s="296"/>
    </row>
    <row r="64" spans="2:9">
      <c r="B64" s="34" t="s">
        <v>143</v>
      </c>
      <c r="C64" s="220"/>
      <c r="D64" s="222"/>
      <c r="E64" s="295"/>
      <c r="F64" s="296"/>
    </row>
    <row r="65" spans="2:8">
      <c r="B65" s="32" t="s">
        <v>17</v>
      </c>
      <c r="C65" s="220">
        <f>100000*3.75</f>
        <v>375000</v>
      </c>
      <c r="D65" s="220"/>
      <c r="E65" s="295"/>
      <c r="F65" s="296"/>
    </row>
    <row r="66" spans="2:8">
      <c r="B66" s="32" t="s">
        <v>18</v>
      </c>
      <c r="C66" s="220">
        <f>100000*3.76*2</f>
        <v>752000</v>
      </c>
      <c r="D66" s="220"/>
      <c r="E66" s="295"/>
      <c r="F66" s="296"/>
    </row>
    <row r="67" spans="2:8">
      <c r="B67" s="32" t="s">
        <v>19</v>
      </c>
      <c r="C67" s="220">
        <f>3*2*55000</f>
        <v>330000</v>
      </c>
      <c r="D67" s="220"/>
      <c r="E67" s="295"/>
      <c r="F67" s="296"/>
    </row>
    <row r="68" spans="2:8" ht="15" thickBot="1">
      <c r="B68" s="270" t="s">
        <v>20</v>
      </c>
      <c r="C68" s="271"/>
      <c r="D68" s="272"/>
      <c r="E68" s="289"/>
      <c r="F68" s="290"/>
    </row>
    <row r="70" spans="2:8">
      <c r="B70" s="4" t="s">
        <v>23</v>
      </c>
    </row>
    <row r="71" spans="2:8" ht="15" thickBot="1">
      <c r="B71" s="5"/>
    </row>
    <row r="72" spans="2:8" ht="15" thickBot="1">
      <c r="B72" s="9" t="s">
        <v>70</v>
      </c>
      <c r="C72" s="9">
        <f>start_year-1</f>
        <v>2023</v>
      </c>
      <c r="D72" s="9">
        <f>start_year</f>
        <v>2024</v>
      </c>
      <c r="E72" s="9">
        <f>D72+1</f>
        <v>2025</v>
      </c>
      <c r="F72" s="9">
        <f>E72+1</f>
        <v>2026</v>
      </c>
      <c r="G72" s="9">
        <f>F72+1</f>
        <v>2027</v>
      </c>
      <c r="H72" s="9">
        <f>G72+1</f>
        <v>2028</v>
      </c>
    </row>
    <row r="73" spans="2:8">
      <c r="B73" s="223" t="s">
        <v>170</v>
      </c>
      <c r="C73" s="285">
        <f>100000*3.75</f>
        <v>375000</v>
      </c>
      <c r="D73" s="213"/>
      <c r="E73" s="213"/>
      <c r="F73" s="213"/>
      <c r="G73" s="213"/>
      <c r="H73" s="213"/>
    </row>
    <row r="74" spans="2:8">
      <c r="B74" s="223" t="s">
        <v>162</v>
      </c>
      <c r="C74" s="285">
        <f>150000*3.75</f>
        <v>562500</v>
      </c>
      <c r="D74" s="213"/>
      <c r="E74" s="213"/>
      <c r="F74" s="213"/>
      <c r="G74" s="213"/>
      <c r="H74" s="213"/>
    </row>
    <row r="75" spans="2:8">
      <c r="B75" s="223" t="s">
        <v>137</v>
      </c>
      <c r="C75" s="285"/>
      <c r="D75" s="213"/>
      <c r="E75" s="213"/>
      <c r="F75" s="213"/>
      <c r="G75" s="213"/>
      <c r="H75" s="213"/>
    </row>
    <row r="76" spans="2:8" ht="15" thickBot="1">
      <c r="B76" s="36" t="s">
        <v>42</v>
      </c>
      <c r="C76" s="286">
        <f t="shared" ref="C76:H76" si="9">SUM(C73:C75)</f>
        <v>937500</v>
      </c>
      <c r="D76" s="25">
        <f t="shared" si="9"/>
        <v>0</v>
      </c>
      <c r="E76" s="25">
        <f t="shared" si="9"/>
        <v>0</v>
      </c>
      <c r="F76" s="25">
        <f t="shared" si="9"/>
        <v>0</v>
      </c>
      <c r="G76" s="25">
        <f t="shared" si="9"/>
        <v>0</v>
      </c>
      <c r="H76" s="25">
        <f t="shared" si="9"/>
        <v>0</v>
      </c>
    </row>
    <row r="77" spans="2:8" ht="15" thickBot="1"/>
    <row r="78" spans="2:8" ht="16.5" thickBot="1">
      <c r="B78" s="10" t="s">
        <v>154</v>
      </c>
      <c r="C78" s="9">
        <f>start_year-1</f>
        <v>2023</v>
      </c>
    </row>
    <row r="79" spans="2:8">
      <c r="B79" s="35" t="s">
        <v>155</v>
      </c>
      <c r="C79" s="256">
        <f>C76</f>
        <v>937500</v>
      </c>
    </row>
    <row r="80" spans="2:8" ht="15" thickBot="1">
      <c r="B80" s="24" t="s">
        <v>71</v>
      </c>
      <c r="C80" s="256">
        <f>'Working Capital'!C12</f>
        <v>1520416.6666666665</v>
      </c>
    </row>
    <row r="81" spans="2:8" ht="16.5" thickBot="1">
      <c r="B81" s="287" t="s">
        <v>156</v>
      </c>
      <c r="C81" s="288">
        <f>SUM(C79:C80)</f>
        <v>2457916.6666666665</v>
      </c>
    </row>
    <row r="83" spans="2:8">
      <c r="B83" s="21" t="s">
        <v>24</v>
      </c>
    </row>
    <row r="84" spans="2:8" ht="15" thickBot="1">
      <c r="B84" s="5"/>
    </row>
    <row r="85" spans="2:8" ht="16.5" thickBot="1">
      <c r="B85" s="10" t="s">
        <v>24</v>
      </c>
      <c r="C85" s="9">
        <f>start_year-1</f>
        <v>2023</v>
      </c>
      <c r="D85" s="9">
        <f>start_year</f>
        <v>2024</v>
      </c>
      <c r="E85" s="9">
        <f>D85+1</f>
        <v>2025</v>
      </c>
      <c r="F85" s="9">
        <f>E85+1</f>
        <v>2026</v>
      </c>
      <c r="G85" s="9">
        <f>F85+1</f>
        <v>2027</v>
      </c>
      <c r="H85" s="9">
        <f>G85+1</f>
        <v>2028</v>
      </c>
    </row>
    <row r="86" spans="2:8">
      <c r="B86" s="35" t="s">
        <v>169</v>
      </c>
      <c r="C86" s="283">
        <f>2550000</f>
        <v>2550000</v>
      </c>
      <c r="D86" s="283">
        <f>2550000</f>
        <v>2550000</v>
      </c>
      <c r="E86" s="283">
        <v>1250000</v>
      </c>
      <c r="F86" s="283">
        <v>750000</v>
      </c>
      <c r="G86" s="283"/>
      <c r="H86" s="283"/>
    </row>
    <row r="87" spans="2:8" ht="15" thickBot="1">
      <c r="B87" s="24" t="s">
        <v>167</v>
      </c>
      <c r="C87" s="214"/>
      <c r="D87" s="214"/>
      <c r="E87" s="214"/>
      <c r="F87" s="214"/>
      <c r="G87" s="214"/>
      <c r="H87" s="214"/>
    </row>
    <row r="89" spans="2:8">
      <c r="B89" s="4" t="s">
        <v>25</v>
      </c>
    </row>
    <row r="90" spans="2:8" ht="15" thickBot="1">
      <c r="B90" s="5"/>
    </row>
    <row r="91" spans="2:8" ht="15.75">
      <c r="B91" s="10" t="s">
        <v>26</v>
      </c>
      <c r="C91" s="14"/>
    </row>
    <row r="92" spans="2:8">
      <c r="B92" s="6"/>
      <c r="C92" s="15"/>
    </row>
    <row r="93" spans="2:8">
      <c r="B93" s="37" t="s">
        <v>27</v>
      </c>
      <c r="C93" s="38">
        <v>0.05</v>
      </c>
    </row>
    <row r="94" spans="2:8">
      <c r="B94" s="37" t="s">
        <v>28</v>
      </c>
      <c r="C94" s="39">
        <v>10</v>
      </c>
    </row>
    <row r="95" spans="2:8">
      <c r="B95" s="37" t="s">
        <v>29</v>
      </c>
      <c r="C95" s="39">
        <v>1</v>
      </c>
    </row>
    <row r="96" spans="2:8">
      <c r="B96" s="37" t="s">
        <v>30</v>
      </c>
      <c r="C96" s="39">
        <v>5</v>
      </c>
    </row>
    <row r="97" spans="2:12">
      <c r="B97" s="37" t="s">
        <v>31</v>
      </c>
      <c r="C97" s="38">
        <v>0.05</v>
      </c>
    </row>
    <row r="98" spans="2:12">
      <c r="B98" s="37" t="s">
        <v>32</v>
      </c>
      <c r="C98" s="40">
        <v>2.5000000000000001E-2</v>
      </c>
    </row>
    <row r="99" spans="2:12">
      <c r="B99" s="37" t="s">
        <v>33</v>
      </c>
      <c r="C99" s="40">
        <v>0.05</v>
      </c>
    </row>
    <row r="100" spans="2:12" ht="15" thickBot="1">
      <c r="B100" s="41" t="s">
        <v>79</v>
      </c>
      <c r="C100" s="155">
        <v>360</v>
      </c>
    </row>
    <row r="103" spans="2:12" ht="21" thickBot="1">
      <c r="B103" s="42" t="s">
        <v>34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</row>
    <row r="104" spans="2:12" ht="15.75" thickTop="1" thickBot="1"/>
    <row r="105" spans="2:12" ht="15.75" thickBot="1">
      <c r="B105" s="7" t="s">
        <v>139</v>
      </c>
      <c r="C105" s="9">
        <f>start_year</f>
        <v>2024</v>
      </c>
      <c r="D105" s="9" t="s">
        <v>43</v>
      </c>
      <c r="E105" s="228"/>
    </row>
    <row r="106" spans="2:12" ht="15" thickBot="1">
      <c r="B106" s="257" t="s">
        <v>166</v>
      </c>
      <c r="C106" s="258">
        <f>3.75*25000</f>
        <v>93750</v>
      </c>
      <c r="D106" s="259">
        <v>0.03</v>
      </c>
    </row>
    <row r="107" spans="2:12" ht="15" thickBot="1"/>
    <row r="108" spans="2:12" ht="15.75" thickBot="1">
      <c r="B108" s="7" t="s">
        <v>35</v>
      </c>
      <c r="C108" s="11">
        <f>start_year</f>
        <v>2024</v>
      </c>
      <c r="D108" s="11" t="s">
        <v>43</v>
      </c>
      <c r="E108" s="228"/>
    </row>
    <row r="109" spans="2:12" ht="15" thickBot="1">
      <c r="B109" s="257" t="str">
        <f>B106</f>
        <v>Peer Reveiwed Manuscript</v>
      </c>
      <c r="C109" s="258">
        <v>50</v>
      </c>
      <c r="D109" s="259">
        <v>0.15</v>
      </c>
    </row>
    <row r="110" spans="2:12" ht="15" thickBot="1"/>
    <row r="111" spans="2:12" ht="15" thickBot="1">
      <c r="B111" s="7" t="s">
        <v>158</v>
      </c>
      <c r="C111" s="9">
        <f>start_year</f>
        <v>2024</v>
      </c>
      <c r="D111" s="9" t="s">
        <v>43</v>
      </c>
    </row>
    <row r="112" spans="2:12" ht="15.75" thickBot="1">
      <c r="B112" s="257" t="str">
        <f>B106</f>
        <v>Peer Reveiwed Manuscript</v>
      </c>
      <c r="C112" s="258">
        <f>5000*3.76</f>
        <v>18800</v>
      </c>
      <c r="D112" s="259">
        <v>0.03</v>
      </c>
      <c r="E112" s="228"/>
    </row>
    <row r="113" spans="2:5" ht="15" thickBot="1"/>
    <row r="114" spans="2:5" ht="15.75" thickBot="1">
      <c r="B114" s="7" t="str">
        <f>B108</f>
        <v>Sales Assumptions (in units)</v>
      </c>
      <c r="C114" s="9">
        <f>start_year</f>
        <v>2024</v>
      </c>
      <c r="D114" s="9" t="s">
        <v>43</v>
      </c>
      <c r="E114" s="228"/>
    </row>
    <row r="115" spans="2:5" ht="15" thickBot="1">
      <c r="B115" s="257" t="str">
        <f>B106</f>
        <v>Peer Reveiwed Manuscript</v>
      </c>
      <c r="C115" s="258">
        <v>50</v>
      </c>
      <c r="D115" s="259">
        <v>0.15</v>
      </c>
    </row>
  </sheetData>
  <mergeCells count="8">
    <mergeCell ref="E68:F68"/>
    <mergeCell ref="E61:F61"/>
    <mergeCell ref="E62:F62"/>
    <mergeCell ref="E63:F63"/>
    <mergeCell ref="E64:F64"/>
    <mergeCell ref="E65:F65"/>
    <mergeCell ref="E66:F66"/>
    <mergeCell ref="E67:F67"/>
  </mergeCells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zoomScale="70" zoomScaleNormal="70" workbookViewId="0">
      <selection activeCell="C31" sqref="C31"/>
    </sheetView>
  </sheetViews>
  <sheetFormatPr defaultColWidth="9.140625" defaultRowHeight="15"/>
  <cols>
    <col min="1" max="1" width="9.140625" style="61"/>
    <col min="2" max="2" width="32.5703125" style="61" customWidth="1"/>
    <col min="3" max="8" width="16.28515625" style="61" customWidth="1"/>
    <col min="9" max="16384" width="9.140625" style="61"/>
  </cols>
  <sheetData>
    <row r="1" spans="1:20" s="86" customFormat="1" ht="20.25">
      <c r="A1" s="78"/>
      <c r="B1" s="84" t="s">
        <v>45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4" spans="1:20" ht="15.75" thickBot="1">
      <c r="B4" s="87"/>
    </row>
    <row r="5" spans="1:20" ht="15.75" thickBot="1">
      <c r="C5" s="62">
        <f>start_year</f>
        <v>2024</v>
      </c>
      <c r="D5" s="62">
        <f>C5+1</f>
        <v>2025</v>
      </c>
      <c r="E5" s="62">
        <f>D5+1</f>
        <v>2026</v>
      </c>
      <c r="F5" s="62">
        <f>E5+1</f>
        <v>2027</v>
      </c>
      <c r="G5" s="62">
        <f>F5+1</f>
        <v>2028</v>
      </c>
      <c r="H5" s="62">
        <f>G5+1</f>
        <v>2029</v>
      </c>
    </row>
    <row r="6" spans="1:20">
      <c r="B6" s="88" t="str">
        <f>Input!B11</f>
        <v>Peer Reveiwed Manuscript</v>
      </c>
      <c r="C6" s="89">
        <f>Input!C11*Input!C15</f>
        <v>4687500</v>
      </c>
      <c r="D6" s="89">
        <f>Input!D11*Input!D15</f>
        <v>5552343.7499999991</v>
      </c>
      <c r="E6" s="89">
        <f>Input!E11*Input!E15</f>
        <v>6576751.1718749981</v>
      </c>
      <c r="F6" s="89">
        <f>Input!F11*Input!F15</f>
        <v>7790161.7630859353</v>
      </c>
      <c r="G6" s="89">
        <f>Input!G11*Input!G15</f>
        <v>9227446.6083752885</v>
      </c>
      <c r="H6" s="90">
        <f>Input!H11*Input!H15</f>
        <v>10929910.50762053</v>
      </c>
    </row>
    <row r="7" spans="1:20" ht="15.75" thickBot="1"/>
    <row r="8" spans="1:20" ht="15.75" thickBot="1">
      <c r="B8" s="91" t="s">
        <v>46</v>
      </c>
      <c r="C8" s="92">
        <f t="shared" ref="C8:H8" si="0">SUM(C6:C6)</f>
        <v>4687500</v>
      </c>
      <c r="D8" s="92">
        <f t="shared" si="0"/>
        <v>5552343.7499999991</v>
      </c>
      <c r="E8" s="92">
        <f t="shared" si="0"/>
        <v>6576751.1718749981</v>
      </c>
      <c r="F8" s="92">
        <f t="shared" si="0"/>
        <v>7790161.7630859353</v>
      </c>
      <c r="G8" s="92">
        <f t="shared" si="0"/>
        <v>9227446.6083752885</v>
      </c>
      <c r="H8" s="93">
        <f t="shared" si="0"/>
        <v>10929910.50762053</v>
      </c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P62"/>
  <sheetViews>
    <sheetView topLeftCell="A39" zoomScale="70" zoomScaleNormal="70" workbookViewId="0">
      <selection activeCell="C67" sqref="C67"/>
    </sheetView>
  </sheetViews>
  <sheetFormatPr defaultColWidth="9.140625" defaultRowHeight="15"/>
  <cols>
    <col min="1" max="1" width="9.140625" style="61"/>
    <col min="2" max="2" width="40.42578125" style="61" customWidth="1"/>
    <col min="3" max="9" width="12.7109375" style="61" customWidth="1"/>
    <col min="10" max="10" width="32.5703125" style="61" customWidth="1"/>
    <col min="11" max="15" width="12.7109375" style="61" customWidth="1"/>
    <col min="16" max="16" width="9.140625" style="61"/>
    <col min="17" max="17" width="11.42578125" style="61" customWidth="1"/>
    <col min="18" max="16384" width="9.140625" style="61"/>
  </cols>
  <sheetData>
    <row r="1" spans="1:20" s="86" customFormat="1" ht="20.25">
      <c r="A1" s="78"/>
      <c r="B1" s="84" t="s">
        <v>48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0" ht="15.75" thickBot="1"/>
    <row r="3" spans="1:20" ht="15.75" thickBot="1">
      <c r="C3" s="62">
        <f>start_year</f>
        <v>2024</v>
      </c>
      <c r="D3" s="62">
        <f>C3+1</f>
        <v>2025</v>
      </c>
      <c r="E3" s="62">
        <f>D3+1</f>
        <v>2026</v>
      </c>
      <c r="F3" s="62">
        <f>E3+1</f>
        <v>2027</v>
      </c>
      <c r="G3" s="62">
        <f>F3+1</f>
        <v>2028</v>
      </c>
      <c r="H3" s="62">
        <f>G3+1</f>
        <v>2029</v>
      </c>
    </row>
    <row r="4" spans="1:20" ht="15.75" thickBot="1">
      <c r="B4" s="63" t="s">
        <v>62</v>
      </c>
      <c r="C4" s="64"/>
      <c r="D4" s="64"/>
      <c r="E4" s="64"/>
      <c r="F4" s="64"/>
      <c r="G4" s="64"/>
      <c r="H4" s="65"/>
    </row>
    <row r="5" spans="1:20">
      <c r="B5" s="66" t="str">
        <f>Input!B49</f>
        <v>CEO ( Journal Manager)</v>
      </c>
      <c r="C5" s="67"/>
      <c r="D5" s="67"/>
      <c r="E5" s="67"/>
      <c r="F5" s="67"/>
      <c r="G5" s="67"/>
      <c r="H5" s="68"/>
    </row>
    <row r="6" spans="1:20">
      <c r="B6" s="69" t="s">
        <v>49</v>
      </c>
      <c r="C6" s="70">
        <f>Input!C36</f>
        <v>1</v>
      </c>
      <c r="D6" s="70">
        <f>Input!D36</f>
        <v>1</v>
      </c>
      <c r="E6" s="70">
        <f>Input!E36</f>
        <v>1</v>
      </c>
      <c r="F6" s="70">
        <f>Input!F36</f>
        <v>1</v>
      </c>
      <c r="G6" s="70">
        <f>Input!G36</f>
        <v>1</v>
      </c>
      <c r="H6" s="71">
        <f>Input!H36</f>
        <v>1</v>
      </c>
    </row>
    <row r="7" spans="1:20">
      <c r="B7" s="69" t="s">
        <v>50</v>
      </c>
      <c r="C7" s="226">
        <f>Input!$E$49*(1+Input!$C$93)^(C$3-start_year)</f>
        <v>600000</v>
      </c>
      <c r="D7" s="226">
        <f>Input!$E$49*(1+Input!$C$93)^(D$3-start_year)</f>
        <v>630000</v>
      </c>
      <c r="E7" s="226">
        <f>Input!$E$49*(1+Input!$C$93)^(E$3-start_year)</f>
        <v>661500</v>
      </c>
      <c r="F7" s="226">
        <f>Input!$E$49*(1+Input!$C$93)^(F$3-start_year)</f>
        <v>694575.00000000012</v>
      </c>
      <c r="G7" s="226">
        <f>Input!$E$49*(1+Input!$C$93)^(G$3-start_year)</f>
        <v>729303.75</v>
      </c>
      <c r="H7" s="227">
        <f>Input!$E$49*(1+Input!$C$93)^(H$3-start_year)</f>
        <v>765768.93750000012</v>
      </c>
    </row>
    <row r="8" spans="1:20">
      <c r="B8" s="72" t="s">
        <v>51</v>
      </c>
      <c r="C8" s="73">
        <f t="shared" ref="C8:H8" si="0">C6*C7</f>
        <v>600000</v>
      </c>
      <c r="D8" s="73">
        <f t="shared" si="0"/>
        <v>630000</v>
      </c>
      <c r="E8" s="73">
        <f t="shared" si="0"/>
        <v>661500</v>
      </c>
      <c r="F8" s="73">
        <f t="shared" si="0"/>
        <v>694575.00000000012</v>
      </c>
      <c r="G8" s="73">
        <f t="shared" si="0"/>
        <v>729303.75</v>
      </c>
      <c r="H8" s="74">
        <f t="shared" si="0"/>
        <v>765768.93750000012</v>
      </c>
    </row>
    <row r="9" spans="1:20">
      <c r="B9" s="75" t="str">
        <f>Input!B37</f>
        <v>Admin Staff (Except S&amp;M)</v>
      </c>
      <c r="C9" s="76"/>
      <c r="D9" s="76"/>
      <c r="E9" s="76"/>
      <c r="F9" s="76"/>
      <c r="G9" s="76"/>
      <c r="H9" s="77"/>
    </row>
    <row r="10" spans="1:20">
      <c r="B10" s="69" t="s">
        <v>49</v>
      </c>
      <c r="C10" s="70">
        <f>Input!C37</f>
        <v>3</v>
      </c>
      <c r="D10" s="70">
        <f>Input!D37</f>
        <v>3</v>
      </c>
      <c r="E10" s="70">
        <f>Input!E37</f>
        <v>3</v>
      </c>
      <c r="F10" s="70">
        <f>Input!F37</f>
        <v>3</v>
      </c>
      <c r="G10" s="70">
        <f>Input!G37</f>
        <v>3</v>
      </c>
      <c r="H10" s="71">
        <f>Input!H37</f>
        <v>3</v>
      </c>
    </row>
    <row r="11" spans="1:20">
      <c r="B11" s="69" t="s">
        <v>50</v>
      </c>
      <c r="C11" s="226">
        <f>Input!$E$50*(1+Input!$C$93)^(C$3-start_year)</f>
        <v>210000</v>
      </c>
      <c r="D11" s="226">
        <f>Input!$E$50*(1+Input!$C$93)^(D$3-start_year)</f>
        <v>220500</v>
      </c>
      <c r="E11" s="226">
        <f>Input!$E$50*(1+Input!$C$93)^(E$3-start_year)</f>
        <v>231525</v>
      </c>
      <c r="F11" s="226">
        <f>Input!$E$50*(1+Input!$C$93)^(F$3-start_year)</f>
        <v>243101.25000000003</v>
      </c>
      <c r="G11" s="226">
        <f>Input!$E$50*(1+Input!$C$93)^(G$3-start_year)</f>
        <v>255256.3125</v>
      </c>
      <c r="H11" s="227">
        <f>Input!$E$50*(1+Input!$C$93)^(H$3-start_year)</f>
        <v>268019.12812500005</v>
      </c>
    </row>
    <row r="12" spans="1:20">
      <c r="B12" s="72" t="s">
        <v>51</v>
      </c>
      <c r="C12" s="73">
        <f t="shared" ref="C12:H12" si="1">C10*C11</f>
        <v>630000</v>
      </c>
      <c r="D12" s="73">
        <f t="shared" si="1"/>
        <v>661500</v>
      </c>
      <c r="E12" s="73">
        <f t="shared" si="1"/>
        <v>694575</v>
      </c>
      <c r="F12" s="73">
        <f t="shared" si="1"/>
        <v>729303.75000000012</v>
      </c>
      <c r="G12" s="73">
        <f t="shared" si="1"/>
        <v>765768.9375</v>
      </c>
      <c r="H12" s="74">
        <f t="shared" si="1"/>
        <v>804057.38437500014</v>
      </c>
    </row>
    <row r="13" spans="1:20">
      <c r="B13" s="75" t="str">
        <f>Input!B38</f>
        <v>Other support ( Lawyer, Bioethicist)</v>
      </c>
      <c r="C13" s="76"/>
      <c r="D13" s="76"/>
      <c r="E13" s="76"/>
      <c r="F13" s="76"/>
      <c r="G13" s="76"/>
      <c r="H13" s="77"/>
    </row>
    <row r="14" spans="1:20">
      <c r="B14" s="69" t="s">
        <v>49</v>
      </c>
      <c r="C14" s="70">
        <f>Input!C38</f>
        <v>2</v>
      </c>
      <c r="D14" s="70">
        <f>Input!D38</f>
        <v>2</v>
      </c>
      <c r="E14" s="70">
        <f>Input!E38</f>
        <v>2</v>
      </c>
      <c r="F14" s="70">
        <f>Input!F38</f>
        <v>2</v>
      </c>
      <c r="G14" s="70">
        <f>Input!G38</f>
        <v>2</v>
      </c>
      <c r="H14" s="71">
        <f>Input!H38</f>
        <v>2</v>
      </c>
    </row>
    <row r="15" spans="1:20">
      <c r="B15" s="69" t="s">
        <v>50</v>
      </c>
      <c r="C15" s="226">
        <f>Input!$E$51*(1+Input!$C$93)^(C$3-start_year)</f>
        <v>210000</v>
      </c>
      <c r="D15" s="226">
        <f>Input!$E$51*(1+Input!$C$93)^(D$3-start_year)</f>
        <v>220500</v>
      </c>
      <c r="E15" s="226">
        <f>Input!$E$51*(1+Input!$C$93)^(E$3-start_year)</f>
        <v>231525</v>
      </c>
      <c r="F15" s="226">
        <f>Input!$E$51*(1+Input!$C$93)^(F$3-start_year)</f>
        <v>243101.25000000003</v>
      </c>
      <c r="G15" s="226">
        <f>Input!$E$51*(1+Input!$C$93)^(G$3-start_year)</f>
        <v>255256.3125</v>
      </c>
      <c r="H15" s="227">
        <f>Input!$E$51*(1+Input!$C$93)^(H$3-start_year)</f>
        <v>268019.12812500005</v>
      </c>
    </row>
    <row r="16" spans="1:20">
      <c r="B16" s="72" t="s">
        <v>51</v>
      </c>
      <c r="C16" s="73">
        <f t="shared" ref="C16:H16" si="2">C14*C15</f>
        <v>420000</v>
      </c>
      <c r="D16" s="73">
        <f t="shared" si="2"/>
        <v>441000</v>
      </c>
      <c r="E16" s="73">
        <f t="shared" si="2"/>
        <v>463050</v>
      </c>
      <c r="F16" s="73">
        <f t="shared" si="2"/>
        <v>486202.50000000006</v>
      </c>
      <c r="G16" s="73">
        <f t="shared" si="2"/>
        <v>510512.625</v>
      </c>
      <c r="H16" s="74">
        <f t="shared" si="2"/>
        <v>536038.25625000009</v>
      </c>
    </row>
    <row r="17" spans="2:120" ht="15.75" thickBot="1">
      <c r="B17" s="94"/>
      <c r="C17" s="78"/>
      <c r="D17" s="78"/>
      <c r="E17" s="78"/>
      <c r="F17" s="78"/>
      <c r="G17" s="78"/>
      <c r="H17" s="95"/>
    </row>
    <row r="18" spans="2:120">
      <c r="B18" s="79" t="s">
        <v>49</v>
      </c>
      <c r="C18" s="80">
        <f t="shared" ref="C18:H18" si="3">C6+C10+C14</f>
        <v>6</v>
      </c>
      <c r="D18" s="80">
        <f t="shared" si="3"/>
        <v>6</v>
      </c>
      <c r="E18" s="80">
        <f t="shared" si="3"/>
        <v>6</v>
      </c>
      <c r="F18" s="80">
        <f t="shared" si="3"/>
        <v>6</v>
      </c>
      <c r="G18" s="80">
        <f t="shared" si="3"/>
        <v>6</v>
      </c>
      <c r="H18" s="80">
        <f t="shared" si="3"/>
        <v>6</v>
      </c>
    </row>
    <row r="19" spans="2:120" ht="15.75" thickBot="1">
      <c r="B19" s="81" t="s">
        <v>50</v>
      </c>
      <c r="C19" s="82">
        <f t="shared" ref="C19:H19" si="4">C8+C12+C16</f>
        <v>1650000</v>
      </c>
      <c r="D19" s="82">
        <f t="shared" si="4"/>
        <v>1732500</v>
      </c>
      <c r="E19" s="82">
        <f t="shared" si="4"/>
        <v>1819125</v>
      </c>
      <c r="F19" s="82">
        <f t="shared" si="4"/>
        <v>1910081.2500000002</v>
      </c>
      <c r="G19" s="82">
        <f t="shared" si="4"/>
        <v>2005585.3125</v>
      </c>
      <c r="H19" s="82">
        <f t="shared" si="4"/>
        <v>2105864.5781250005</v>
      </c>
      <c r="I19" s="83"/>
    </row>
    <row r="20" spans="2:120">
      <c r="I20" s="83"/>
    </row>
    <row r="21" spans="2:120">
      <c r="B21" s="204" t="s">
        <v>131</v>
      </c>
      <c r="C21" s="205">
        <f>C18</f>
        <v>6</v>
      </c>
      <c r="D21" s="205">
        <f>D18-C18</f>
        <v>0</v>
      </c>
      <c r="E21" s="205">
        <f>E18-D18</f>
        <v>0</v>
      </c>
      <c r="F21" s="205">
        <f>F18-E18</f>
        <v>0</v>
      </c>
      <c r="G21" s="205">
        <f>G18-F18</f>
        <v>0</v>
      </c>
      <c r="H21" s="206">
        <f>H18-G18</f>
        <v>0</v>
      </c>
      <c r="I21" s="83"/>
    </row>
    <row r="22" spans="2:120">
      <c r="B22" s="207" t="s">
        <v>132</v>
      </c>
      <c r="C22" s="208">
        <f t="shared" ref="C22:H22" si="5">(C7+C11+C15)/(C6+C10+C14)</f>
        <v>170000</v>
      </c>
      <c r="D22" s="208">
        <f t="shared" si="5"/>
        <v>178500</v>
      </c>
      <c r="E22" s="208">
        <f t="shared" si="5"/>
        <v>187425</v>
      </c>
      <c r="F22" s="208">
        <f t="shared" si="5"/>
        <v>196796.25000000003</v>
      </c>
      <c r="G22" s="208">
        <f t="shared" si="5"/>
        <v>206636.0625</v>
      </c>
      <c r="H22" s="208">
        <f t="shared" si="5"/>
        <v>216967.86562500001</v>
      </c>
      <c r="I22" s="83"/>
    </row>
    <row r="23" spans="2:120">
      <c r="I23" s="83"/>
    </row>
    <row r="24" spans="2:120" ht="15.75" thickBot="1">
      <c r="I24" s="83"/>
    </row>
    <row r="25" spans="2:120" ht="15.75" thickBot="1">
      <c r="C25" s="62">
        <f>start_year</f>
        <v>2024</v>
      </c>
      <c r="D25" s="62">
        <f>C25+1</f>
        <v>2025</v>
      </c>
      <c r="E25" s="62">
        <f>D25+1</f>
        <v>2026</v>
      </c>
      <c r="F25" s="62">
        <f>E25+1</f>
        <v>2027</v>
      </c>
      <c r="G25" s="62">
        <f>F25+1</f>
        <v>2028</v>
      </c>
      <c r="H25" s="62">
        <f>G25+1</f>
        <v>2029</v>
      </c>
    </row>
    <row r="26" spans="2:120">
      <c r="B26" s="63" t="s">
        <v>60</v>
      </c>
      <c r="C26" s="64"/>
      <c r="D26" s="64"/>
      <c r="E26" s="64"/>
      <c r="F26" s="64"/>
      <c r="G26" s="64"/>
      <c r="H26" s="65"/>
    </row>
    <row r="27" spans="2:120">
      <c r="B27" s="75" t="str">
        <f>Input!B40</f>
        <v>S &amp; M staff</v>
      </c>
      <c r="C27" s="76"/>
      <c r="D27" s="76"/>
      <c r="E27" s="76"/>
      <c r="F27" s="76"/>
      <c r="G27" s="76"/>
      <c r="H27" s="77"/>
    </row>
    <row r="28" spans="2:120">
      <c r="B28" s="69" t="s">
        <v>49</v>
      </c>
      <c r="C28" s="70">
        <f>Input!C40</f>
        <v>2</v>
      </c>
      <c r="D28" s="70">
        <f>Input!D40</f>
        <v>3</v>
      </c>
      <c r="E28" s="70">
        <f>Input!E40</f>
        <v>3</v>
      </c>
      <c r="F28" s="70">
        <f>Input!F40</f>
        <v>3</v>
      </c>
      <c r="G28" s="70">
        <f>Input!G40</f>
        <v>3</v>
      </c>
      <c r="H28" s="71">
        <f>Input!H40</f>
        <v>3</v>
      </c>
    </row>
    <row r="29" spans="2:120">
      <c r="B29" s="69" t="s">
        <v>50</v>
      </c>
      <c r="C29" s="226">
        <f>Input!$E$53*(1+Input!$C$93)^(C$3-start_year)</f>
        <v>210000</v>
      </c>
      <c r="D29" s="226">
        <f>Input!$E$53*(1+Input!$C$93)^(D$3-start_year)</f>
        <v>220500</v>
      </c>
      <c r="E29" s="226">
        <f>Input!$E$53*(1+Input!$C$93)^(E$3-start_year)</f>
        <v>231525</v>
      </c>
      <c r="F29" s="226">
        <f>Input!$E$53*(1+Input!$C$93)^(F$3-start_year)</f>
        <v>243101.25000000003</v>
      </c>
      <c r="G29" s="226">
        <f>Input!$E$53*(1+Input!$C$93)^(G$3-start_year)</f>
        <v>255256.3125</v>
      </c>
      <c r="H29" s="227">
        <f>Input!$E$53*(1+Input!$C$93)^(H$3-start_year)</f>
        <v>268019.12812500005</v>
      </c>
    </row>
    <row r="30" spans="2:120">
      <c r="B30" s="72" t="s">
        <v>51</v>
      </c>
      <c r="C30" s="73">
        <f t="shared" ref="C30:H30" si="6">C28*C29</f>
        <v>420000</v>
      </c>
      <c r="D30" s="73">
        <f t="shared" si="6"/>
        <v>661500</v>
      </c>
      <c r="E30" s="73">
        <f t="shared" si="6"/>
        <v>694575</v>
      </c>
      <c r="F30" s="73">
        <f t="shared" si="6"/>
        <v>729303.75000000012</v>
      </c>
      <c r="G30" s="73">
        <f t="shared" si="6"/>
        <v>765768.9375</v>
      </c>
      <c r="H30" s="74">
        <f t="shared" si="6"/>
        <v>804057.38437500014</v>
      </c>
    </row>
    <row r="31" spans="2:120" ht="15.75" thickBot="1">
      <c r="B31" s="96"/>
      <c r="H31" s="97"/>
    </row>
    <row r="32" spans="2:120" customFormat="1">
      <c r="B32" s="52" t="s">
        <v>49</v>
      </c>
      <c r="C32" s="53">
        <f t="shared" ref="C32:H32" si="7">C28</f>
        <v>2</v>
      </c>
      <c r="D32" s="53">
        <f t="shared" si="7"/>
        <v>3</v>
      </c>
      <c r="E32" s="53">
        <f t="shared" si="7"/>
        <v>3</v>
      </c>
      <c r="F32" s="53">
        <f t="shared" si="7"/>
        <v>3</v>
      </c>
      <c r="G32" s="53">
        <f t="shared" si="7"/>
        <v>3</v>
      </c>
      <c r="H32" s="53">
        <f t="shared" si="7"/>
        <v>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</row>
    <row r="33" spans="1:120" customFormat="1" ht="15.75" thickBot="1">
      <c r="A33" s="16"/>
      <c r="B33" s="54" t="s">
        <v>50</v>
      </c>
      <c r="C33" s="55">
        <f t="shared" ref="C33:H33" si="8">C30</f>
        <v>420000</v>
      </c>
      <c r="D33" s="55">
        <f t="shared" si="8"/>
        <v>661500</v>
      </c>
      <c r="E33" s="55">
        <f t="shared" si="8"/>
        <v>694575</v>
      </c>
      <c r="F33" s="55">
        <f t="shared" si="8"/>
        <v>729303.75000000012</v>
      </c>
      <c r="G33" s="55">
        <f t="shared" si="8"/>
        <v>765768.9375</v>
      </c>
      <c r="H33" s="55">
        <f t="shared" si="8"/>
        <v>804057.38437500014</v>
      </c>
      <c r="I33" s="5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</row>
    <row r="34" spans="1:120">
      <c r="I34" s="83"/>
    </row>
    <row r="35" spans="1:120">
      <c r="B35" s="204" t="s">
        <v>131</v>
      </c>
      <c r="C35" s="205">
        <f t="shared" ref="C35:H35" si="9">C32</f>
        <v>2</v>
      </c>
      <c r="D35" s="205">
        <f t="shared" si="9"/>
        <v>3</v>
      </c>
      <c r="E35" s="205">
        <f t="shared" si="9"/>
        <v>3</v>
      </c>
      <c r="F35" s="205">
        <f t="shared" si="9"/>
        <v>3</v>
      </c>
      <c r="G35" s="205">
        <f t="shared" si="9"/>
        <v>3</v>
      </c>
      <c r="H35" s="205">
        <f t="shared" si="9"/>
        <v>3</v>
      </c>
      <c r="I35" s="83"/>
    </row>
    <row r="36" spans="1:120">
      <c r="B36" s="207" t="s">
        <v>132</v>
      </c>
      <c r="C36" s="208">
        <f t="shared" ref="C36:H36" si="10">(C30)/(C28)</f>
        <v>210000</v>
      </c>
      <c r="D36" s="208">
        <f t="shared" si="10"/>
        <v>220500</v>
      </c>
      <c r="E36" s="208">
        <f t="shared" si="10"/>
        <v>231525</v>
      </c>
      <c r="F36" s="208">
        <f t="shared" si="10"/>
        <v>243101.25000000003</v>
      </c>
      <c r="G36" s="208">
        <f t="shared" si="10"/>
        <v>255256.3125</v>
      </c>
      <c r="H36" s="208">
        <f t="shared" si="10"/>
        <v>268019.12812500005</v>
      </c>
      <c r="I36" s="83"/>
    </row>
    <row r="37" spans="1:120">
      <c r="I37" s="83"/>
    </row>
    <row r="38" spans="1:120" ht="15.75" thickBot="1">
      <c r="B38" s="113"/>
      <c r="C38" s="114"/>
      <c r="D38" s="114"/>
      <c r="E38" s="114"/>
      <c r="F38" s="114"/>
      <c r="G38" s="114"/>
    </row>
    <row r="39" spans="1:120" ht="15.75" thickBot="1">
      <c r="C39" s="62">
        <f>start_year</f>
        <v>2024</v>
      </c>
      <c r="D39" s="62">
        <f>C39+1</f>
        <v>2025</v>
      </c>
      <c r="E39" s="62">
        <f>D39+1</f>
        <v>2026</v>
      </c>
      <c r="F39" s="62">
        <f>E39+1</f>
        <v>2027</v>
      </c>
      <c r="G39" s="62">
        <f>F39+1</f>
        <v>2028</v>
      </c>
      <c r="H39" s="62">
        <f>G39+1</f>
        <v>2029</v>
      </c>
    </row>
    <row r="40" spans="1:120" ht="15.75" thickBot="1">
      <c r="B40" s="63" t="s">
        <v>133</v>
      </c>
      <c r="C40" s="64"/>
      <c r="D40" s="64"/>
      <c r="E40" s="64"/>
      <c r="F40" s="64"/>
      <c r="G40" s="64"/>
      <c r="H40" s="65"/>
    </row>
    <row r="41" spans="1:120">
      <c r="B41" s="66" t="str">
        <f>Input!B42</f>
        <v xml:space="preserve">Editor in Chief </v>
      </c>
      <c r="C41" s="67"/>
      <c r="D41" s="67"/>
      <c r="E41" s="67"/>
      <c r="F41" s="67"/>
      <c r="G41" s="67"/>
      <c r="H41" s="68"/>
    </row>
    <row r="42" spans="1:120">
      <c r="B42" s="69" t="s">
        <v>49</v>
      </c>
      <c r="C42" s="70">
        <f>Input!C42</f>
        <v>2</v>
      </c>
      <c r="D42" s="70">
        <f>Input!D42</f>
        <v>2</v>
      </c>
      <c r="E42" s="70">
        <f>Input!E42</f>
        <v>2</v>
      </c>
      <c r="F42" s="70">
        <f>Input!F42</f>
        <v>2</v>
      </c>
      <c r="G42" s="70">
        <f>Input!G42</f>
        <v>2</v>
      </c>
      <c r="H42" s="71">
        <f>Input!H42</f>
        <v>2</v>
      </c>
    </row>
    <row r="43" spans="1:120">
      <c r="B43" s="69" t="s">
        <v>50</v>
      </c>
      <c r="C43" s="226">
        <f>Input!$E$55*(1+Input!$C$93)^(C$39-start_year)</f>
        <v>0</v>
      </c>
      <c r="D43" s="226">
        <f>Input!$E$55*(1+Input!$C$93)^(D$39-start_year)</f>
        <v>0</v>
      </c>
      <c r="E43" s="226">
        <f>Input!$E$55*(1+Input!$C$93)^(E$39-start_year)</f>
        <v>0</v>
      </c>
      <c r="F43" s="226">
        <f>Input!$E$55*(1+Input!$C$93)^(F$39-start_year)</f>
        <v>0</v>
      </c>
      <c r="G43" s="226">
        <f>Input!$E$55*(1+Input!$C$93)^(G$39-start_year)</f>
        <v>0</v>
      </c>
      <c r="H43" s="227">
        <f>Input!$E$55*(1+Input!$C$93)^(H$39-start_year)</f>
        <v>0</v>
      </c>
    </row>
    <row r="44" spans="1:120">
      <c r="B44" s="72" t="s">
        <v>51</v>
      </c>
      <c r="C44" s="73">
        <f t="shared" ref="C44:H44" si="11">C42*C43</f>
        <v>0</v>
      </c>
      <c r="D44" s="73">
        <f t="shared" si="11"/>
        <v>0</v>
      </c>
      <c r="E44" s="73">
        <f t="shared" si="11"/>
        <v>0</v>
      </c>
      <c r="F44" s="73">
        <f t="shared" si="11"/>
        <v>0</v>
      </c>
      <c r="G44" s="73">
        <f t="shared" si="11"/>
        <v>0</v>
      </c>
      <c r="H44" s="74">
        <f t="shared" si="11"/>
        <v>0</v>
      </c>
    </row>
    <row r="45" spans="1:120">
      <c r="B45" s="75" t="str">
        <f>Input!B43</f>
        <v>Coordinator</v>
      </c>
      <c r="C45" s="76"/>
      <c r="D45" s="76"/>
      <c r="E45" s="76"/>
      <c r="F45" s="76"/>
      <c r="G45" s="76"/>
      <c r="H45" s="77"/>
    </row>
    <row r="46" spans="1:120">
      <c r="B46" s="69" t="s">
        <v>49</v>
      </c>
      <c r="C46" s="70">
        <f>Input!C43</f>
        <v>2</v>
      </c>
      <c r="D46" s="70">
        <f>Input!D43</f>
        <v>2</v>
      </c>
      <c r="E46" s="70">
        <f>Input!E43</f>
        <v>2</v>
      </c>
      <c r="F46" s="70">
        <f>Input!F43</f>
        <v>2</v>
      </c>
      <c r="G46" s="70">
        <f>Input!G43</f>
        <v>2</v>
      </c>
      <c r="H46" s="71">
        <f>Input!H43</f>
        <v>2</v>
      </c>
    </row>
    <row r="47" spans="1:120">
      <c r="B47" s="69" t="s">
        <v>50</v>
      </c>
      <c r="C47" s="226">
        <f>Input!$E$56*(1+Input!$C$93)^(C$39-start_year)</f>
        <v>210000</v>
      </c>
      <c r="D47" s="226">
        <f>Input!$E$56*(1+Input!$C$93)^(D$39-start_year)</f>
        <v>220500</v>
      </c>
      <c r="E47" s="226">
        <f>Input!$E$56*(1+Input!$C$93)^(E$39-start_year)</f>
        <v>231525</v>
      </c>
      <c r="F47" s="226">
        <f>Input!$E$56*(1+Input!$C$93)^(F$39-start_year)</f>
        <v>243101.25000000003</v>
      </c>
      <c r="G47" s="226">
        <f>Input!$E$56*(1+Input!$C$93)^(G$39-start_year)</f>
        <v>255256.3125</v>
      </c>
      <c r="H47" s="227">
        <f>Input!$E$56*(1+Input!$C$93)^(H$39-start_year)</f>
        <v>268019.12812500005</v>
      </c>
    </row>
    <row r="48" spans="1:120">
      <c r="B48" s="72" t="s">
        <v>51</v>
      </c>
      <c r="C48" s="73">
        <f t="shared" ref="C48:H48" si="12">C46*C47</f>
        <v>420000</v>
      </c>
      <c r="D48" s="73">
        <f t="shared" si="12"/>
        <v>441000</v>
      </c>
      <c r="E48" s="73">
        <f t="shared" si="12"/>
        <v>463050</v>
      </c>
      <c r="F48" s="73">
        <f t="shared" si="12"/>
        <v>486202.50000000006</v>
      </c>
      <c r="G48" s="73">
        <f t="shared" si="12"/>
        <v>510512.625</v>
      </c>
      <c r="H48" s="74">
        <f t="shared" si="12"/>
        <v>536038.25625000009</v>
      </c>
    </row>
    <row r="49" spans="1:120">
      <c r="B49" s="75" t="str">
        <f>Input!B44</f>
        <v>Language Editor</v>
      </c>
      <c r="C49" s="76"/>
      <c r="D49" s="76"/>
      <c r="E49" s="76"/>
      <c r="F49" s="76"/>
      <c r="G49" s="76"/>
      <c r="H49" s="77"/>
    </row>
    <row r="50" spans="1:120">
      <c r="B50" s="69" t="s">
        <v>49</v>
      </c>
      <c r="C50" s="70">
        <f>Input!C44</f>
        <v>2</v>
      </c>
      <c r="D50" s="70">
        <f>Input!D44</f>
        <v>2</v>
      </c>
      <c r="E50" s="70">
        <f>Input!E44</f>
        <v>2</v>
      </c>
      <c r="F50" s="70">
        <f>Input!F44</f>
        <v>2</v>
      </c>
      <c r="G50" s="70">
        <f>Input!G44</f>
        <v>2</v>
      </c>
      <c r="H50" s="71">
        <f>Input!H44</f>
        <v>2</v>
      </c>
    </row>
    <row r="51" spans="1:120">
      <c r="B51" s="69" t="s">
        <v>50</v>
      </c>
      <c r="C51" s="226">
        <f>Input!$E$57*(1+Input!$C$93)^(C$39-start_year)</f>
        <v>336000</v>
      </c>
      <c r="D51" s="226">
        <f>Input!$E$57*(1+Input!$C$93)^(D$39-start_year)</f>
        <v>352800</v>
      </c>
      <c r="E51" s="226">
        <f>Input!$E$57*(1+Input!$C$93)^(E$39-start_year)</f>
        <v>370440</v>
      </c>
      <c r="F51" s="226">
        <f>Input!$E$57*(1+Input!$C$93)^(F$39-start_year)</f>
        <v>388962.00000000006</v>
      </c>
      <c r="G51" s="226">
        <f>Input!$E$57*(1+Input!$C$93)^(G$39-start_year)</f>
        <v>408410.1</v>
      </c>
      <c r="H51" s="227">
        <f>Input!$E$57*(1+Input!$C$93)^(H$39-start_year)</f>
        <v>428830.60500000004</v>
      </c>
    </row>
    <row r="52" spans="1:120">
      <c r="B52" s="72" t="s">
        <v>51</v>
      </c>
      <c r="C52" s="73">
        <f t="shared" ref="C52:H52" si="13">C50*C51</f>
        <v>672000</v>
      </c>
      <c r="D52" s="73">
        <f t="shared" si="13"/>
        <v>705600</v>
      </c>
      <c r="E52" s="73">
        <f t="shared" si="13"/>
        <v>740880</v>
      </c>
      <c r="F52" s="73">
        <f t="shared" si="13"/>
        <v>777924.00000000012</v>
      </c>
      <c r="G52" s="73">
        <f t="shared" si="13"/>
        <v>816820.2</v>
      </c>
      <c r="H52" s="74">
        <f t="shared" si="13"/>
        <v>857661.21000000008</v>
      </c>
    </row>
    <row r="53" spans="1:120" ht="15.75" thickBot="1">
      <c r="B53" s="96"/>
      <c r="H53" s="97"/>
    </row>
    <row r="54" spans="1:120" customFormat="1">
      <c r="B54" s="52" t="s">
        <v>49</v>
      </c>
      <c r="C54" s="53">
        <f t="shared" ref="C54:H54" si="14">C42+C46+C50</f>
        <v>6</v>
      </c>
      <c r="D54" s="53">
        <f t="shared" si="14"/>
        <v>6</v>
      </c>
      <c r="E54" s="53">
        <f t="shared" si="14"/>
        <v>6</v>
      </c>
      <c r="F54" s="53">
        <f t="shared" si="14"/>
        <v>6</v>
      </c>
      <c r="G54" s="53">
        <f t="shared" si="14"/>
        <v>6</v>
      </c>
      <c r="H54" s="53">
        <f t="shared" si="14"/>
        <v>6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</row>
    <row r="55" spans="1:120" customFormat="1" ht="15.75" thickBot="1">
      <c r="A55" s="16"/>
      <c r="B55" s="54" t="s">
        <v>50</v>
      </c>
      <c r="C55" s="55">
        <f t="shared" ref="C55:H55" si="15">C44+C48+C52</f>
        <v>1092000</v>
      </c>
      <c r="D55" s="55">
        <f t="shared" si="15"/>
        <v>1146600</v>
      </c>
      <c r="E55" s="55">
        <f t="shared" si="15"/>
        <v>1203930</v>
      </c>
      <c r="F55" s="55">
        <f t="shared" si="15"/>
        <v>1264126.5000000002</v>
      </c>
      <c r="G55" s="55">
        <f t="shared" si="15"/>
        <v>1327332.825</v>
      </c>
      <c r="H55" s="55">
        <f t="shared" si="15"/>
        <v>1393699.4662500001</v>
      </c>
      <c r="I55" s="5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</row>
    <row r="56" spans="1:120">
      <c r="I56" s="83"/>
    </row>
    <row r="57" spans="1:120">
      <c r="B57" s="204" t="s">
        <v>131</v>
      </c>
      <c r="C57" s="205">
        <f t="shared" ref="C57:H57" si="16">C54</f>
        <v>6</v>
      </c>
      <c r="D57" s="205">
        <f t="shared" si="16"/>
        <v>6</v>
      </c>
      <c r="E57" s="205">
        <f t="shared" si="16"/>
        <v>6</v>
      </c>
      <c r="F57" s="205">
        <f t="shared" si="16"/>
        <v>6</v>
      </c>
      <c r="G57" s="205">
        <f t="shared" si="16"/>
        <v>6</v>
      </c>
      <c r="H57" s="205">
        <f t="shared" si="16"/>
        <v>6</v>
      </c>
      <c r="I57" s="83"/>
    </row>
    <row r="58" spans="1:120">
      <c r="B58" s="207" t="s">
        <v>132</v>
      </c>
      <c r="C58" s="208">
        <f t="shared" ref="C58:H58" si="17">(C44+C48+C52)/(C42+C46+C50)</f>
        <v>182000</v>
      </c>
      <c r="D58" s="208">
        <f t="shared" si="17"/>
        <v>191100</v>
      </c>
      <c r="E58" s="208">
        <f t="shared" si="17"/>
        <v>200655</v>
      </c>
      <c r="F58" s="208">
        <f t="shared" si="17"/>
        <v>210687.75000000003</v>
      </c>
      <c r="G58" s="208">
        <f t="shared" si="17"/>
        <v>221222.13749999998</v>
      </c>
      <c r="H58" s="208">
        <f t="shared" si="17"/>
        <v>232283.24437500001</v>
      </c>
      <c r="I58" s="83"/>
    </row>
    <row r="59" spans="1:120">
      <c r="I59" s="83"/>
    </row>
    <row r="60" spans="1:120" customFormat="1" ht="15.75" thickBot="1">
      <c r="A60" s="16"/>
      <c r="I60" s="5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</row>
    <row r="61" spans="1:120" customFormat="1" ht="15.75" thickBot="1">
      <c r="A61" s="16"/>
      <c r="B61" s="57" t="s">
        <v>52</v>
      </c>
      <c r="C61" s="58">
        <f t="shared" ref="C61:H62" si="18">C18+C32+C54</f>
        <v>14</v>
      </c>
      <c r="D61" s="58">
        <f t="shared" si="18"/>
        <v>15</v>
      </c>
      <c r="E61" s="58">
        <f t="shared" si="18"/>
        <v>15</v>
      </c>
      <c r="F61" s="58">
        <f t="shared" si="18"/>
        <v>15</v>
      </c>
      <c r="G61" s="58">
        <f t="shared" si="18"/>
        <v>15</v>
      </c>
      <c r="H61" s="58">
        <f t="shared" si="18"/>
        <v>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</row>
    <row r="62" spans="1:120" customFormat="1" ht="15.75" thickBot="1">
      <c r="B62" s="59" t="s">
        <v>51</v>
      </c>
      <c r="C62" s="60">
        <f t="shared" si="18"/>
        <v>3162000</v>
      </c>
      <c r="D62" s="60">
        <f t="shared" si="18"/>
        <v>3540600</v>
      </c>
      <c r="E62" s="60">
        <f t="shared" si="18"/>
        <v>3717630</v>
      </c>
      <c r="F62" s="60">
        <f t="shared" si="18"/>
        <v>3903511.5000000009</v>
      </c>
      <c r="G62" s="60">
        <f t="shared" si="18"/>
        <v>4098687.0750000002</v>
      </c>
      <c r="H62" s="60">
        <f t="shared" si="18"/>
        <v>4303621.4287500009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6"/>
  <sheetViews>
    <sheetView topLeftCell="A2" zoomScale="70" zoomScaleNormal="70" workbookViewId="0">
      <selection activeCell="C35" sqref="C35"/>
    </sheetView>
  </sheetViews>
  <sheetFormatPr defaultColWidth="9.140625" defaultRowHeight="15"/>
  <cols>
    <col min="1" max="1" width="9.140625" style="16"/>
    <col min="2" max="2" width="51.5703125" style="16" bestFit="1" customWidth="1"/>
    <col min="3" max="8" width="16.28515625" style="16" customWidth="1"/>
    <col min="9" max="9" width="10.140625" style="16" customWidth="1"/>
    <col min="10" max="16384" width="9.140625" style="16"/>
  </cols>
  <sheetData>
    <row r="1" spans="1:20" s="86" customFormat="1" ht="20.25">
      <c r="A1" s="78"/>
      <c r="B1" s="84" t="s">
        <v>53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3" spans="1:20" ht="25.5">
      <c r="B3" s="111"/>
    </row>
    <row r="5" spans="1:20" ht="15.75" thickBot="1"/>
    <row r="6" spans="1:20" ht="15.75" thickBot="1">
      <c r="B6" s="48"/>
      <c r="C6" s="99">
        <f>start_year</f>
        <v>2024</v>
      </c>
      <c r="D6" s="99">
        <f>C6+1</f>
        <v>2025</v>
      </c>
      <c r="E6" s="99">
        <f>D6+1</f>
        <v>2026</v>
      </c>
      <c r="F6" s="99">
        <f>E6+1</f>
        <v>2027</v>
      </c>
      <c r="G6" s="99">
        <f>F6+1</f>
        <v>2028</v>
      </c>
      <c r="H6" s="99">
        <f>G6+1</f>
        <v>2029</v>
      </c>
    </row>
    <row r="7" spans="1:20">
      <c r="B7" s="50" t="s">
        <v>144</v>
      </c>
      <c r="C7" s="51"/>
      <c r="D7" s="51"/>
      <c r="E7" s="51"/>
      <c r="F7" s="51"/>
      <c r="G7" s="51"/>
      <c r="H7" s="51"/>
    </row>
    <row r="8" spans="1:20">
      <c r="B8" s="100" t="s">
        <v>54</v>
      </c>
      <c r="C8" s="8">
        <f>Manpower!C19</f>
        <v>1650000</v>
      </c>
      <c r="D8" s="8">
        <f>Manpower!D19</f>
        <v>1732500</v>
      </c>
      <c r="E8" s="8">
        <f>Manpower!E19</f>
        <v>1819125</v>
      </c>
      <c r="F8" s="8">
        <f>Manpower!F19</f>
        <v>1910081.2500000002</v>
      </c>
      <c r="G8" s="8">
        <f>Manpower!G19</f>
        <v>2005585.3125</v>
      </c>
      <c r="H8" s="8">
        <f>Manpower!H19</f>
        <v>2105864.5781250005</v>
      </c>
    </row>
    <row r="9" spans="1:20">
      <c r="B9" s="101" t="s">
        <v>15</v>
      </c>
      <c r="C9" s="8">
        <f>Input!$C$63</f>
        <v>140000</v>
      </c>
      <c r="D9" s="8">
        <f>Input!$C$63</f>
        <v>140000</v>
      </c>
      <c r="E9" s="8">
        <f>Input!$C$63</f>
        <v>140000</v>
      </c>
      <c r="F9" s="8">
        <f>Input!$C$63</f>
        <v>140000</v>
      </c>
      <c r="G9" s="8">
        <f>Input!$C$63</f>
        <v>140000</v>
      </c>
      <c r="H9" s="8">
        <f>Input!$C$63</f>
        <v>140000</v>
      </c>
    </row>
    <row r="10" spans="1:20" ht="15.75" thickBot="1">
      <c r="B10" s="102" t="s">
        <v>55</v>
      </c>
      <c r="C10" s="103">
        <f t="shared" ref="C10:H10" si="0">SUM(C8:C9)</f>
        <v>1790000</v>
      </c>
      <c r="D10" s="103">
        <f t="shared" si="0"/>
        <v>1872500</v>
      </c>
      <c r="E10" s="103">
        <f t="shared" si="0"/>
        <v>1959125</v>
      </c>
      <c r="F10" s="103">
        <f t="shared" si="0"/>
        <v>2050081.2500000002</v>
      </c>
      <c r="G10" s="103">
        <f t="shared" si="0"/>
        <v>2145585.3125</v>
      </c>
      <c r="H10" s="103">
        <f t="shared" si="0"/>
        <v>2245864.5781250005</v>
      </c>
    </row>
    <row r="11" spans="1:20" ht="15.75" thickBot="1">
      <c r="B11"/>
      <c r="C11" s="104"/>
      <c r="D11" s="104"/>
      <c r="E11" s="104"/>
      <c r="F11" s="104"/>
      <c r="G11" s="104"/>
      <c r="H11" s="104"/>
    </row>
    <row r="12" spans="1:20" ht="15.75" thickBot="1">
      <c r="B12" s="105" t="s">
        <v>143</v>
      </c>
      <c r="C12" s="106"/>
      <c r="D12" s="106"/>
      <c r="E12" s="106"/>
      <c r="F12" s="106"/>
      <c r="G12" s="106"/>
      <c r="H12" s="106"/>
    </row>
    <row r="13" spans="1:20">
      <c r="B13" s="107" t="s">
        <v>56</v>
      </c>
      <c r="C13" s="49">
        <f>Manpower!C33</f>
        <v>420000</v>
      </c>
      <c r="D13" s="49">
        <f>Manpower!D33</f>
        <v>661500</v>
      </c>
      <c r="E13" s="49">
        <f>Manpower!E33</f>
        <v>694575</v>
      </c>
      <c r="F13" s="49">
        <f>Manpower!F33</f>
        <v>729303.75000000012</v>
      </c>
      <c r="G13" s="49">
        <f>Manpower!G33</f>
        <v>765768.9375</v>
      </c>
      <c r="H13" s="49">
        <f>Manpower!H33</f>
        <v>804057.38437500014</v>
      </c>
    </row>
    <row r="14" spans="1:20">
      <c r="B14" s="100" t="s">
        <v>17</v>
      </c>
      <c r="C14" s="8">
        <f>(Input!$C$65)*(1+Input!$C$99)^(C6-start_year)</f>
        <v>375000</v>
      </c>
      <c r="D14" s="8">
        <f>(Input!$C$65)*(1+Input!$C$99)^(D6-start_year)</f>
        <v>393750</v>
      </c>
      <c r="E14" s="8">
        <f>(Input!$C$65)*(1+Input!$C$99)^(E6-start_year)</f>
        <v>413437.5</v>
      </c>
      <c r="F14" s="8">
        <f>(Input!$C$65)*(1+Input!$C$99)^(F6-start_year)</f>
        <v>434109.37500000006</v>
      </c>
      <c r="G14" s="8">
        <f>(Input!$C$65)*(1+Input!$C$99)^(G6-start_year)</f>
        <v>455814.84375</v>
      </c>
      <c r="H14" s="8">
        <f>(Input!$C$65)*(1+Input!$C$99)^(H6-start_year)</f>
        <v>478605.58593750006</v>
      </c>
    </row>
    <row r="15" spans="1:20">
      <c r="B15" s="100" t="s">
        <v>18</v>
      </c>
      <c r="C15" s="8">
        <f>(Input!$C$66)*(1+Input!$C$99)^(C6-start_year)</f>
        <v>752000</v>
      </c>
      <c r="D15" s="8">
        <f>(Input!$C$66)*(1+Input!$C$99)^(D6-start_year)</f>
        <v>789600</v>
      </c>
      <c r="E15" s="8">
        <f>(Input!$C$66)*(1+Input!$C$99)^(E6-start_year)</f>
        <v>829080</v>
      </c>
      <c r="F15" s="8">
        <f>(Input!$C$66)*(1+Input!$C$99)^(F6-start_year)</f>
        <v>870534.00000000012</v>
      </c>
      <c r="G15" s="8">
        <f>(Input!$C$66)*(1+Input!$C$99)^(G6-start_year)</f>
        <v>914060.7</v>
      </c>
      <c r="H15" s="8">
        <f>(Input!$C$66)*(1+Input!$C$99)^(H6-start_year)</f>
        <v>959763.7350000001</v>
      </c>
    </row>
    <row r="16" spans="1:20">
      <c r="B16" s="100" t="s">
        <v>19</v>
      </c>
      <c r="C16" s="8">
        <f>(Input!$C$67)*(1+Input!$C$99)^(C6-start_year)</f>
        <v>330000</v>
      </c>
      <c r="D16" s="8">
        <f>(Input!$C$67)*(1+Input!$C$99)^(D6-start_year)</f>
        <v>346500</v>
      </c>
      <c r="E16" s="8">
        <f>(Input!$C$67)*(1+Input!$C$99)^(E6-start_year)</f>
        <v>363825</v>
      </c>
      <c r="F16" s="8">
        <f>(Input!$C$67)*(1+Input!$C$99)^(F6-start_year)</f>
        <v>382016.25000000006</v>
      </c>
      <c r="G16" s="8">
        <f>(Input!$C$67)*(1+Input!$C$99)^(G6-start_year)</f>
        <v>401117.0625</v>
      </c>
      <c r="H16" s="8">
        <f>(Input!$C$67)*(1+Input!$C$99)^(H6-start_year)</f>
        <v>421172.91562500002</v>
      </c>
    </row>
    <row r="17" spans="2:9">
      <c r="B17" s="100" t="s">
        <v>20</v>
      </c>
      <c r="C17" s="8">
        <f>Input!$D$68*Revenues!C8</f>
        <v>0</v>
      </c>
      <c r="D17" s="8">
        <f>Input!$D$68*Revenues!D8</f>
        <v>0</v>
      </c>
      <c r="E17" s="8">
        <f>Input!$D$68*Revenues!E8</f>
        <v>0</v>
      </c>
      <c r="F17" s="8">
        <f>Input!$D$68*Revenues!F8</f>
        <v>0</v>
      </c>
      <c r="G17" s="8">
        <f>Input!$D$68*Revenues!G8</f>
        <v>0</v>
      </c>
      <c r="H17" s="8">
        <f>Input!$D$68*Revenues!H8</f>
        <v>0</v>
      </c>
    </row>
    <row r="18" spans="2:9" ht="15.75" thickBot="1">
      <c r="B18" s="102" t="s">
        <v>57</v>
      </c>
      <c r="C18" s="103">
        <f t="shared" ref="C18:H18" si="1">SUM(C13:C17)</f>
        <v>1877000</v>
      </c>
      <c r="D18" s="103">
        <f t="shared" si="1"/>
        <v>2191350</v>
      </c>
      <c r="E18" s="103">
        <f t="shared" si="1"/>
        <v>2300917.5</v>
      </c>
      <c r="F18" s="103">
        <f t="shared" si="1"/>
        <v>2415963.3750000005</v>
      </c>
      <c r="G18" s="103">
        <f t="shared" si="1"/>
        <v>2536761.5437500002</v>
      </c>
      <c r="H18" s="103">
        <f t="shared" si="1"/>
        <v>2663599.6209375001</v>
      </c>
    </row>
    <row r="19" spans="2:9" ht="15.75" thickBot="1">
      <c r="B19"/>
      <c r="C19" s="104"/>
      <c r="D19" s="104"/>
      <c r="E19" s="104"/>
      <c r="F19" s="104"/>
      <c r="G19" s="104"/>
      <c r="H19" s="104"/>
    </row>
    <row r="20" spans="2:9">
      <c r="B20" s="50" t="s">
        <v>142</v>
      </c>
      <c r="C20" s="108"/>
      <c r="D20" s="108"/>
      <c r="E20" s="108"/>
      <c r="F20" s="108"/>
      <c r="G20" s="108"/>
      <c r="H20" s="108"/>
    </row>
    <row r="21" spans="2:9">
      <c r="B21" s="100" t="s">
        <v>164</v>
      </c>
      <c r="C21" s="8">
        <f>Input!C19*Input!C23</f>
        <v>940000</v>
      </c>
      <c r="D21" s="8">
        <f>Input!D19*Input!D23</f>
        <v>1113429.9999999998</v>
      </c>
      <c r="E21" s="8">
        <f>Input!E19*Input!E23</f>
        <v>1318857.8349999995</v>
      </c>
      <c r="F21" s="8">
        <f>Input!F19*Input!F23</f>
        <v>1562187.1055574995</v>
      </c>
      <c r="G21" s="8">
        <f>Input!G19*Input!G23</f>
        <v>1850410.6265328578</v>
      </c>
      <c r="H21" s="8">
        <f>Input!H19*Input!H23</f>
        <v>2191811.3871281701</v>
      </c>
    </row>
    <row r="22" spans="2:9">
      <c r="B22" s="100" t="s">
        <v>12</v>
      </c>
      <c r="C22" s="8">
        <f>Manpower!C55</f>
        <v>1092000</v>
      </c>
      <c r="D22" s="8">
        <f>Manpower!D55</f>
        <v>1146600</v>
      </c>
      <c r="E22" s="8">
        <f>Manpower!E55</f>
        <v>1203930</v>
      </c>
      <c r="F22" s="8">
        <f>Manpower!F55</f>
        <v>1264126.5000000002</v>
      </c>
      <c r="G22" s="8">
        <f>Manpower!G55</f>
        <v>1327332.825</v>
      </c>
      <c r="H22" s="8">
        <f>Manpower!H55</f>
        <v>1393699.4662500001</v>
      </c>
    </row>
    <row r="23" spans="2:9">
      <c r="B23" s="100" t="s">
        <v>22</v>
      </c>
      <c r="C23" s="8"/>
      <c r="D23" s="8"/>
      <c r="E23" s="8"/>
      <c r="F23" s="8"/>
      <c r="G23" s="8"/>
      <c r="H23" s="8"/>
    </row>
    <row r="24" spans="2:9" ht="15.75" thickBot="1">
      <c r="B24" s="102" t="s">
        <v>58</v>
      </c>
      <c r="C24" s="103">
        <f t="shared" ref="C24:H24" si="2">SUM(C21:C23)</f>
        <v>2032000</v>
      </c>
      <c r="D24" s="103">
        <f t="shared" si="2"/>
        <v>2260030</v>
      </c>
      <c r="E24" s="103">
        <f t="shared" si="2"/>
        <v>2522787.8349999995</v>
      </c>
      <c r="F24" s="103">
        <f t="shared" si="2"/>
        <v>2826313.6055574995</v>
      </c>
      <c r="G24" s="103">
        <f t="shared" si="2"/>
        <v>3177743.4515328575</v>
      </c>
      <c r="H24" s="103">
        <f t="shared" si="2"/>
        <v>3585510.8533781702</v>
      </c>
    </row>
    <row r="25" spans="2:9" ht="15.75" thickBot="1">
      <c r="B25"/>
      <c r="C25" s="104"/>
      <c r="D25" s="104"/>
      <c r="E25" s="104"/>
      <c r="F25" s="104"/>
      <c r="G25" s="104"/>
      <c r="H25" s="104"/>
    </row>
    <row r="26" spans="2:9" ht="15.75" thickBot="1">
      <c r="B26" s="109" t="s">
        <v>145</v>
      </c>
      <c r="C26" s="110">
        <f t="shared" ref="C26:H26" si="3">C10+C18+C24</f>
        <v>5699000</v>
      </c>
      <c r="D26" s="110">
        <f t="shared" si="3"/>
        <v>6323880</v>
      </c>
      <c r="E26" s="110">
        <f t="shared" si="3"/>
        <v>6782830.334999999</v>
      </c>
      <c r="F26" s="110">
        <f t="shared" si="3"/>
        <v>7292358.2305575004</v>
      </c>
      <c r="G26" s="110">
        <f t="shared" si="3"/>
        <v>7860090.3077828577</v>
      </c>
      <c r="H26" s="110">
        <f t="shared" si="3"/>
        <v>8494975.0524406694</v>
      </c>
      <c r="I26" s="110">
        <f>SUM(C26:H26)</f>
        <v>42453133.925781026</v>
      </c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zoomScale="70" zoomScaleNormal="70" workbookViewId="0">
      <selection activeCell="F22" sqref="F22"/>
    </sheetView>
  </sheetViews>
  <sheetFormatPr defaultColWidth="9.140625" defaultRowHeight="15"/>
  <cols>
    <col min="1" max="1" width="9.140625" style="16"/>
    <col min="2" max="2" width="42.42578125" style="16" bestFit="1" customWidth="1"/>
    <col min="3" max="3" width="42.42578125" style="16" customWidth="1"/>
    <col min="4" max="9" width="16.28515625" style="16" customWidth="1"/>
    <col min="10" max="16384" width="9.140625" style="16"/>
  </cols>
  <sheetData>
    <row r="1" spans="1:21" s="86" customFormat="1" ht="20.25">
      <c r="A1" s="78"/>
      <c r="B1" s="84" t="s">
        <v>63</v>
      </c>
      <c r="C1" s="84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4" spans="1:21" ht="15.75" thickBot="1">
      <c r="B4" s="139"/>
      <c r="C4" s="139"/>
    </row>
    <row r="5" spans="1:21" ht="15.75" thickBot="1">
      <c r="B5" s="48"/>
      <c r="C5" s="129">
        <f>start_year-1</f>
        <v>2023</v>
      </c>
      <c r="D5" s="129">
        <f>start_year</f>
        <v>2024</v>
      </c>
      <c r="E5" s="129">
        <f>D5+1</f>
        <v>2025</v>
      </c>
      <c r="F5" s="129">
        <f>E5+1</f>
        <v>2026</v>
      </c>
      <c r="G5" s="129">
        <f>F5+1</f>
        <v>2027</v>
      </c>
      <c r="H5" s="129">
        <f>G5+1</f>
        <v>2028</v>
      </c>
      <c r="I5" s="129">
        <f>H5+1</f>
        <v>2029</v>
      </c>
    </row>
    <row r="6" spans="1:21">
      <c r="B6" s="50" t="s">
        <v>64</v>
      </c>
      <c r="C6" s="242"/>
      <c r="D6" s="51"/>
      <c r="E6" s="51"/>
      <c r="F6" s="51"/>
      <c r="G6" s="51"/>
      <c r="H6" s="51"/>
      <c r="I6" s="130"/>
    </row>
    <row r="7" spans="1:21">
      <c r="B7" s="100" t="s">
        <v>65</v>
      </c>
      <c r="C7" s="8">
        <f>Input!C76</f>
        <v>937500</v>
      </c>
      <c r="D7" s="8">
        <f>Input!D76</f>
        <v>0</v>
      </c>
      <c r="E7" s="8">
        <f>Input!E76</f>
        <v>0</v>
      </c>
      <c r="F7" s="8">
        <f>Input!F76</f>
        <v>0</v>
      </c>
      <c r="G7" s="8">
        <f>Input!G76</f>
        <v>0</v>
      </c>
      <c r="H7" s="8">
        <f>Input!H76</f>
        <v>0</v>
      </c>
      <c r="I7" s="8">
        <f>Input!I76</f>
        <v>0</v>
      </c>
    </row>
    <row r="8" spans="1:21" ht="15.75" thickBot="1">
      <c r="B8" s="102" t="s">
        <v>66</v>
      </c>
      <c r="C8" s="103">
        <f>SUM(C7:$C7)</f>
        <v>937500</v>
      </c>
      <c r="D8" s="103">
        <f>SUM($C7:D7)</f>
        <v>937500</v>
      </c>
      <c r="E8" s="103">
        <f>SUM($C7:E7)</f>
        <v>937500</v>
      </c>
      <c r="F8" s="103">
        <f>SUM($C7:F7)</f>
        <v>937500</v>
      </c>
      <c r="G8" s="103">
        <f>SUM($C7:G7)</f>
        <v>937500</v>
      </c>
      <c r="H8" s="103">
        <f>SUM($C7:H7)</f>
        <v>937500</v>
      </c>
      <c r="I8" s="103">
        <f>SUM($C7:I7)</f>
        <v>937500</v>
      </c>
    </row>
    <row r="9" spans="1:21" ht="15.75" thickBot="1">
      <c r="B9"/>
      <c r="C9"/>
      <c r="D9"/>
      <c r="E9"/>
      <c r="F9"/>
      <c r="G9"/>
      <c r="H9"/>
      <c r="I9"/>
    </row>
    <row r="10" spans="1:21">
      <c r="B10" s="131" t="s">
        <v>67</v>
      </c>
      <c r="C10" s="250">
        <f>C8</f>
        <v>937500</v>
      </c>
      <c r="D10" s="132">
        <f t="shared" ref="D10:I10" si="0">C13+D7</f>
        <v>937500</v>
      </c>
      <c r="E10" s="132">
        <f t="shared" si="0"/>
        <v>843750</v>
      </c>
      <c r="F10" s="132">
        <f t="shared" si="0"/>
        <v>750000</v>
      </c>
      <c r="G10" s="132">
        <f t="shared" si="0"/>
        <v>656250</v>
      </c>
      <c r="H10" s="132">
        <f t="shared" si="0"/>
        <v>562500</v>
      </c>
      <c r="I10" s="133">
        <f t="shared" si="0"/>
        <v>468750</v>
      </c>
    </row>
    <row r="11" spans="1:21" hidden="1">
      <c r="B11" s="134"/>
      <c r="C11" s="251"/>
      <c r="D11" s="8">
        <v>0</v>
      </c>
      <c r="E11" s="135">
        <v>0</v>
      </c>
      <c r="F11" s="135">
        <v>0</v>
      </c>
      <c r="G11" s="135">
        <v>0</v>
      </c>
      <c r="H11" s="135">
        <v>0</v>
      </c>
      <c r="I11" s="136">
        <v>0</v>
      </c>
    </row>
    <row r="12" spans="1:21">
      <c r="B12" s="100" t="s">
        <v>68</v>
      </c>
      <c r="C12" s="252">
        <v>0</v>
      </c>
      <c r="D12" s="8">
        <f>D10/Input!$C$94</f>
        <v>93750</v>
      </c>
      <c r="E12" s="8">
        <f>($D$10/Input!$C$94)+(E7/Input!$C$94)</f>
        <v>93750</v>
      </c>
      <c r="F12" s="8">
        <f>($D$10/Input!$C$94)+(E7/Input!$C$94)+(F7/Input!$C$94)</f>
        <v>93750</v>
      </c>
      <c r="G12" s="8">
        <f>($D$10/Input!$C$94)+(E7/Input!$C$94)+(F7/Input!$C$94)+(G7/Input!$C$94)</f>
        <v>93750</v>
      </c>
      <c r="H12" s="8">
        <f>($D$10/Input!$C$94)+(E7/Input!$C$94)+(F7/Input!$C$94)+(G7/Input!$C$94)+(H7/Input!$C$94)</f>
        <v>93750</v>
      </c>
      <c r="I12" s="8">
        <f>($D$10/Input!$C$94)+(E7/Input!$C$94)+(F7/Input!$C$94)+(G7/Input!$C$94)+(H7/Input!$C$94)+(I7/Input!$C$94)</f>
        <v>93750</v>
      </c>
    </row>
    <row r="13" spans="1:21" ht="15.75" thickBot="1">
      <c r="B13" s="102" t="s">
        <v>69</v>
      </c>
      <c r="C13" s="137">
        <f t="shared" ref="C13:I13" si="1">C10-C12</f>
        <v>937500</v>
      </c>
      <c r="D13" s="137">
        <f t="shared" si="1"/>
        <v>843750</v>
      </c>
      <c r="E13" s="137">
        <f t="shared" si="1"/>
        <v>750000</v>
      </c>
      <c r="F13" s="137">
        <f t="shared" si="1"/>
        <v>656250</v>
      </c>
      <c r="G13" s="137">
        <f t="shared" si="1"/>
        <v>562500</v>
      </c>
      <c r="H13" s="137">
        <f t="shared" si="1"/>
        <v>468750</v>
      </c>
      <c r="I13" s="138">
        <f t="shared" si="1"/>
        <v>375000</v>
      </c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5"/>
  <sheetViews>
    <sheetView zoomScale="70" zoomScaleNormal="70" workbookViewId="0">
      <selection activeCell="E16" sqref="E16"/>
    </sheetView>
  </sheetViews>
  <sheetFormatPr defaultColWidth="9.140625" defaultRowHeight="15"/>
  <cols>
    <col min="1" max="1" width="9.140625" style="16"/>
    <col min="2" max="2" width="27.42578125" style="16" bestFit="1" customWidth="1"/>
    <col min="3" max="8" width="16.28515625" style="16" customWidth="1"/>
    <col min="9" max="16384" width="9.140625" style="16"/>
  </cols>
  <sheetData>
    <row r="1" spans="1:20" s="86" customFormat="1" ht="20.25">
      <c r="A1" s="78"/>
      <c r="B1" s="84" t="s">
        <v>71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3" spans="1:20" ht="15.75" thickBot="1"/>
    <row r="4" spans="1:20" ht="15.75" thickBot="1">
      <c r="B4" s="48"/>
      <c r="C4" s="129">
        <f>start_year</f>
        <v>2024</v>
      </c>
      <c r="D4" s="129">
        <f>C4+1</f>
        <v>2025</v>
      </c>
      <c r="E4" s="129">
        <f>D4+1</f>
        <v>2026</v>
      </c>
      <c r="F4" s="129">
        <f>E4+1</f>
        <v>2027</v>
      </c>
      <c r="G4" s="129">
        <f>F4+1</f>
        <v>2028</v>
      </c>
      <c r="H4" s="129">
        <f>G4+1</f>
        <v>2029</v>
      </c>
    </row>
    <row r="5" spans="1:20">
      <c r="B5" s="141" t="s">
        <v>72</v>
      </c>
      <c r="C5" s="49">
        <f>(Costs!C10-Costs!C8)*Input!C28/day_in_year</f>
        <v>11666.666666666666</v>
      </c>
      <c r="D5" s="49">
        <f>(Costs!D10-Costs!D8)*Input!D28/day_in_year</f>
        <v>11666.666666666666</v>
      </c>
      <c r="E5" s="49">
        <f>(Costs!E10-Costs!E8)*Input!E28/day_in_year</f>
        <v>11666.666666666666</v>
      </c>
      <c r="F5" s="49">
        <f>(Costs!F10-Costs!F8)*Input!F28/day_in_year</f>
        <v>11666.666666666666</v>
      </c>
      <c r="G5" s="49">
        <f>(Costs!G10-Costs!G8)*Input!G28/day_in_year</f>
        <v>11666.666666666666</v>
      </c>
      <c r="H5" s="142">
        <f>(Costs!H10-Costs!H8)*Input!H28/day_in_year</f>
        <v>11666.666666666666</v>
      </c>
    </row>
    <row r="6" spans="1:20">
      <c r="B6" s="143" t="s">
        <v>73</v>
      </c>
      <c r="C6" s="8">
        <f>(Costs!C18-Costs!C13)*Input!C29/day_in_year</f>
        <v>121416.66666666667</v>
      </c>
      <c r="D6" s="8">
        <f>(Costs!D18-Costs!D13)*Input!D29/day_in_year</f>
        <v>127487.5</v>
      </c>
      <c r="E6" s="8">
        <f>(Costs!E18-Costs!E13)*Input!E29/day_in_year</f>
        <v>133861.875</v>
      </c>
      <c r="F6" s="8">
        <f>(Costs!F18-Costs!F13)*Input!F29/day_in_year</f>
        <v>140554.96875000003</v>
      </c>
      <c r="G6" s="8">
        <f>(Costs!G18-Costs!G13)*Input!G29/day_in_year</f>
        <v>147582.71718750003</v>
      </c>
      <c r="H6" s="140">
        <f>(Costs!H18-Costs!H13)*Input!H29/day_in_year</f>
        <v>154961.85304687498</v>
      </c>
    </row>
    <row r="7" spans="1:20">
      <c r="B7" s="143" t="s">
        <v>74</v>
      </c>
      <c r="C7" s="8">
        <f>(Costs!C24-Costs!C22)*Input!C30/day_in_year</f>
        <v>78333.333333333328</v>
      </c>
      <c r="D7" s="8">
        <f>(Costs!D24-Costs!D22)*Input!D30/day_in_year</f>
        <v>92785.833333333328</v>
      </c>
      <c r="E7" s="8">
        <f>(Costs!E24-Costs!E22)*Input!E30/day_in_year</f>
        <v>109904.81958333329</v>
      </c>
      <c r="F7" s="8">
        <f>(Costs!F24-Costs!F22)*Input!F30/day_in_year</f>
        <v>130182.25879645828</v>
      </c>
      <c r="G7" s="8">
        <f>(Costs!G24-Costs!G22)*Input!G30/day_in_year</f>
        <v>154200.88554440479</v>
      </c>
      <c r="H7" s="8">
        <f>(Costs!H24-Costs!H22)*Input!H30/day_in_year</f>
        <v>182650.94892734752</v>
      </c>
    </row>
    <row r="8" spans="1:20">
      <c r="B8" s="100" t="s">
        <v>75</v>
      </c>
      <c r="C8" s="8">
        <f t="shared" ref="C8:H8" si="0">SUM(C5:C7)</f>
        <v>211416.66666666669</v>
      </c>
      <c r="D8" s="8">
        <f t="shared" si="0"/>
        <v>231940</v>
      </c>
      <c r="E8" s="8">
        <f t="shared" si="0"/>
        <v>255433.36124999996</v>
      </c>
      <c r="F8" s="8">
        <f t="shared" si="0"/>
        <v>282403.89421312499</v>
      </c>
      <c r="G8" s="8">
        <f t="shared" si="0"/>
        <v>313450.26939857146</v>
      </c>
      <c r="H8" s="140">
        <f t="shared" si="0"/>
        <v>349279.46864088916</v>
      </c>
    </row>
    <row r="9" spans="1:20">
      <c r="B9" s="100" t="s">
        <v>80</v>
      </c>
      <c r="C9" s="156">
        <f>Costs!C24*Input!C32/day_in_year</f>
        <v>169333.33333333334</v>
      </c>
      <c r="D9" s="156">
        <f>Costs!D24*Input!D32/day_in_year</f>
        <v>188335.83333333334</v>
      </c>
      <c r="E9" s="156">
        <f>Costs!E24*Input!E32/day_in_year</f>
        <v>210232.31958333327</v>
      </c>
      <c r="F9" s="156">
        <f>Costs!F24*Input!F32/day_in_year</f>
        <v>235526.13379645828</v>
      </c>
      <c r="G9" s="156">
        <f>Costs!G24*Input!G32/day_in_year</f>
        <v>264811.95429440483</v>
      </c>
      <c r="H9" s="156">
        <f>Costs!H24*Input!H32/day_in_year</f>
        <v>298792.57111484749</v>
      </c>
    </row>
    <row r="10" spans="1:20" ht="15.75" thickBot="1">
      <c r="B10" s="144" t="s">
        <v>76</v>
      </c>
      <c r="C10" s="145">
        <f>Revenues!C8*Input!C31/day_in_year</f>
        <v>1562500</v>
      </c>
      <c r="D10" s="145">
        <f>Revenues!D8*Input!D31/day_in_year</f>
        <v>1850781.2499999998</v>
      </c>
      <c r="E10" s="145">
        <f>Revenues!E8*Input!E31/day_in_year</f>
        <v>2192250.3906249995</v>
      </c>
      <c r="F10" s="145">
        <f>Revenues!F8*Input!F31/day_in_year</f>
        <v>2596720.5876953118</v>
      </c>
      <c r="G10" s="145">
        <f>Revenues!G8*Input!G31/day_in_year</f>
        <v>3075815.5361250965</v>
      </c>
      <c r="H10" s="146">
        <f>Revenues!H8*Input!H31/day_in_year</f>
        <v>3643303.5025401763</v>
      </c>
    </row>
    <row r="11" spans="1:20" ht="15.75" thickBot="1">
      <c r="B11"/>
      <c r="C11" s="104"/>
      <c r="D11" s="104"/>
      <c r="E11" s="104"/>
      <c r="F11" s="104"/>
      <c r="G11" s="104"/>
      <c r="H11" s="104"/>
    </row>
    <row r="12" spans="1:20">
      <c r="B12" s="147" t="s">
        <v>71</v>
      </c>
      <c r="C12" s="148">
        <f t="shared" ref="C12:H12" si="1">C10-C8+C9</f>
        <v>1520416.6666666665</v>
      </c>
      <c r="D12" s="148">
        <f t="shared" si="1"/>
        <v>1807177.083333333</v>
      </c>
      <c r="E12" s="148">
        <f t="shared" si="1"/>
        <v>2147049.3489583326</v>
      </c>
      <c r="F12" s="148">
        <f t="shared" si="1"/>
        <v>2549842.8272786448</v>
      </c>
      <c r="G12" s="148">
        <f t="shared" si="1"/>
        <v>3027177.22102093</v>
      </c>
      <c r="H12" s="149">
        <f t="shared" si="1"/>
        <v>3592816.6050141347</v>
      </c>
    </row>
    <row r="13" spans="1:20" ht="15.75" thickBot="1">
      <c r="B13" s="150" t="s">
        <v>77</v>
      </c>
      <c r="C13" s="151">
        <f>C12</f>
        <v>1520416.6666666665</v>
      </c>
      <c r="D13" s="151">
        <f>D12-C12</f>
        <v>286760.41666666651</v>
      </c>
      <c r="E13" s="151">
        <f>E12-D12</f>
        <v>339872.26562499953</v>
      </c>
      <c r="F13" s="151">
        <f>F12-E12</f>
        <v>402793.47832031222</v>
      </c>
      <c r="G13" s="151">
        <f>G12-F12</f>
        <v>477334.3937422852</v>
      </c>
      <c r="H13" s="157">
        <f>H12-G12</f>
        <v>565639.38399320468</v>
      </c>
    </row>
    <row r="14" spans="1:20" ht="15.75" thickBot="1">
      <c r="B14"/>
      <c r="C14" s="104"/>
      <c r="D14" s="104"/>
      <c r="E14" s="104"/>
      <c r="F14" s="104"/>
      <c r="G14" s="104"/>
      <c r="H14" s="104"/>
    </row>
    <row r="15" spans="1:20" ht="15.75" thickBot="1">
      <c r="B15" s="152" t="s">
        <v>78</v>
      </c>
      <c r="C15" s="153"/>
      <c r="D15" s="153">
        <f>D12/Revenues!D8</f>
        <v>0.32548004314994605</v>
      </c>
      <c r="E15" s="153">
        <f>E12/Revenues!E8</f>
        <v>0.32646048069144445</v>
      </c>
      <c r="F15" s="153">
        <f>F12/Revenues!F8</f>
        <v>0.32731577402682449</v>
      </c>
      <c r="G15" s="153">
        <f>G12/Revenues!G8</f>
        <v>0.32806228521260838</v>
      </c>
      <c r="H15" s="154">
        <f>H12/Revenues!H8</f>
        <v>0.32871418320480833</v>
      </c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U99"/>
  <sheetViews>
    <sheetView zoomScale="70" zoomScaleNormal="70" workbookViewId="0">
      <selection activeCell="L26" sqref="L26"/>
    </sheetView>
  </sheetViews>
  <sheetFormatPr defaultColWidth="9.140625" defaultRowHeight="15"/>
  <cols>
    <col min="1" max="1" width="9.140625" style="16"/>
    <col min="2" max="2" width="32.42578125" style="16" bestFit="1" customWidth="1"/>
    <col min="3" max="3" width="17.7109375" style="16" customWidth="1"/>
    <col min="4" max="9" width="16.28515625" style="16" customWidth="1"/>
    <col min="10" max="16384" width="9.140625" style="16"/>
  </cols>
  <sheetData>
    <row r="1" spans="1:21" s="86" customFormat="1" ht="20.25">
      <c r="A1" s="78"/>
      <c r="B1" s="84" t="s">
        <v>81</v>
      </c>
      <c r="C1" s="84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4" spans="1:21" ht="15.75" thickBot="1">
      <c r="B4" s="158" t="s">
        <v>82</v>
      </c>
      <c r="C4" s="158"/>
      <c r="D4" s="48"/>
      <c r="E4" s="48"/>
      <c r="F4" s="48"/>
      <c r="G4" s="48"/>
      <c r="H4" s="48"/>
      <c r="I4" s="48"/>
    </row>
    <row r="5" spans="1:21" ht="15.75" thickBot="1">
      <c r="B5" s="48"/>
      <c r="C5" s="171" t="s">
        <v>153</v>
      </c>
      <c r="D5" s="171">
        <f>start_year</f>
        <v>2024</v>
      </c>
      <c r="E5" s="171">
        <f>D5+1</f>
        <v>2025</v>
      </c>
      <c r="F5" s="171">
        <f>E5+1</f>
        <v>2026</v>
      </c>
      <c r="G5" s="171">
        <f>F5+1</f>
        <v>2027</v>
      </c>
      <c r="H5" s="171">
        <f>G5+1</f>
        <v>2028</v>
      </c>
      <c r="I5" s="171">
        <f>H5+1</f>
        <v>2029</v>
      </c>
    </row>
    <row r="6" spans="1:21">
      <c r="B6" s="50" t="s">
        <v>83</v>
      </c>
      <c r="C6" s="51"/>
      <c r="D6" s="51"/>
      <c r="E6" s="51"/>
      <c r="F6" s="51"/>
      <c r="G6" s="51"/>
      <c r="H6" s="51"/>
      <c r="I6" s="130"/>
    </row>
    <row r="7" spans="1:21">
      <c r="B7" s="189" t="s">
        <v>83</v>
      </c>
      <c r="C7" s="160"/>
      <c r="D7" s="160">
        <f>Revenues!C8</f>
        <v>4687500</v>
      </c>
      <c r="E7" s="160">
        <f>Revenues!D8</f>
        <v>5552343.7499999991</v>
      </c>
      <c r="F7" s="160">
        <f>Revenues!E8</f>
        <v>6576751.1718749981</v>
      </c>
      <c r="G7" s="160">
        <f>Revenues!F8</f>
        <v>7790161.7630859353</v>
      </c>
      <c r="H7" s="160">
        <f>Revenues!G8</f>
        <v>9227446.6083752885</v>
      </c>
      <c r="I7" s="190">
        <f>Revenues!H8</f>
        <v>10929910.50762053</v>
      </c>
    </row>
    <row r="8" spans="1:21">
      <c r="B8" s="191" t="s">
        <v>84</v>
      </c>
      <c r="C8" s="161"/>
      <c r="D8" s="161">
        <f t="shared" ref="D8:I8" si="0">SUM(D7)</f>
        <v>4687500</v>
      </c>
      <c r="E8" s="161">
        <f t="shared" si="0"/>
        <v>5552343.7499999991</v>
      </c>
      <c r="F8" s="161">
        <f t="shared" si="0"/>
        <v>6576751.1718749981</v>
      </c>
      <c r="G8" s="161">
        <f t="shared" si="0"/>
        <v>7790161.7630859353</v>
      </c>
      <c r="H8" s="161">
        <f t="shared" si="0"/>
        <v>9227446.6083752885</v>
      </c>
      <c r="I8" s="192">
        <f t="shared" si="0"/>
        <v>10929910.50762053</v>
      </c>
    </row>
    <row r="9" spans="1:21">
      <c r="B9" s="189"/>
      <c r="C9" s="161"/>
      <c r="D9" s="161"/>
      <c r="E9" s="161"/>
      <c r="F9" s="161"/>
      <c r="G9" s="161"/>
      <c r="H9" s="161"/>
      <c r="I9" s="192"/>
    </row>
    <row r="10" spans="1:21">
      <c r="B10" s="176" t="s">
        <v>21</v>
      </c>
      <c r="C10" s="162"/>
      <c r="D10" s="162">
        <f>Costs!C24</f>
        <v>2032000</v>
      </c>
      <c r="E10" s="162">
        <f>Costs!D24</f>
        <v>2260030</v>
      </c>
      <c r="F10" s="162">
        <f>Costs!E24</f>
        <v>2522787.8349999995</v>
      </c>
      <c r="G10" s="162">
        <f>Costs!F24</f>
        <v>2826313.6055574995</v>
      </c>
      <c r="H10" s="162">
        <f>Costs!G24</f>
        <v>3177743.4515328575</v>
      </c>
      <c r="I10" s="193">
        <f>Costs!H24</f>
        <v>3585510.8533781702</v>
      </c>
    </row>
    <row r="11" spans="1:21">
      <c r="B11" s="194"/>
      <c r="C11" s="163"/>
      <c r="D11" s="163"/>
      <c r="E11" s="163"/>
      <c r="F11" s="163"/>
      <c r="G11" s="163"/>
      <c r="H11" s="163"/>
      <c r="I11" s="195"/>
    </row>
    <row r="12" spans="1:21">
      <c r="B12" s="186" t="s">
        <v>85</v>
      </c>
      <c r="C12" s="164"/>
      <c r="D12" s="164">
        <f t="shared" ref="D12:I12" si="1">D8-D10</f>
        <v>2655500</v>
      </c>
      <c r="E12" s="164">
        <f t="shared" si="1"/>
        <v>3292313.7499999991</v>
      </c>
      <c r="F12" s="164">
        <f t="shared" si="1"/>
        <v>4053963.3368749986</v>
      </c>
      <c r="G12" s="164">
        <f t="shared" si="1"/>
        <v>4963848.1575284358</v>
      </c>
      <c r="H12" s="164">
        <f t="shared" si="1"/>
        <v>6049703.1568424311</v>
      </c>
      <c r="I12" s="187">
        <f t="shared" si="1"/>
        <v>7344399.65424236</v>
      </c>
    </row>
    <row r="13" spans="1:21">
      <c r="B13" s="194" t="s">
        <v>86</v>
      </c>
      <c r="C13" s="165"/>
      <c r="D13" s="165">
        <f t="shared" ref="D13:I13" si="2">D12/D8</f>
        <v>0.56650666666666671</v>
      </c>
      <c r="E13" s="165">
        <f t="shared" si="2"/>
        <v>0.59295927958350914</v>
      </c>
      <c r="F13" s="165">
        <f t="shared" si="2"/>
        <v>0.61640819774533673</v>
      </c>
      <c r="G13" s="165">
        <f t="shared" si="2"/>
        <v>0.63719449075497692</v>
      </c>
      <c r="H13" s="165">
        <f t="shared" si="2"/>
        <v>0.65562049975465808</v>
      </c>
      <c r="I13" s="196">
        <f t="shared" si="2"/>
        <v>0.67195423504352692</v>
      </c>
    </row>
    <row r="14" spans="1:21">
      <c r="B14" s="189"/>
      <c r="C14" s="161"/>
      <c r="D14" s="161"/>
      <c r="E14" s="161"/>
      <c r="F14" s="161"/>
      <c r="G14" s="161"/>
      <c r="H14" s="161"/>
      <c r="I14" s="192"/>
    </row>
    <row r="15" spans="1:21">
      <c r="B15" s="176" t="s">
        <v>87</v>
      </c>
      <c r="C15" s="166"/>
      <c r="D15" s="166"/>
      <c r="E15" s="166"/>
      <c r="F15" s="166"/>
      <c r="G15" s="166"/>
      <c r="H15" s="166"/>
      <c r="I15" s="197"/>
    </row>
    <row r="16" spans="1:21">
      <c r="B16" s="194" t="s">
        <v>14</v>
      </c>
      <c r="C16" s="163"/>
      <c r="D16" s="163">
        <f>Costs!C10</f>
        <v>1790000</v>
      </c>
      <c r="E16" s="163">
        <f>Costs!D10</f>
        <v>1872500</v>
      </c>
      <c r="F16" s="163">
        <f>Costs!E10</f>
        <v>1959125</v>
      </c>
      <c r="G16" s="163">
        <f>Costs!F10</f>
        <v>2050081.2500000002</v>
      </c>
      <c r="H16" s="163">
        <f>Costs!G10</f>
        <v>2145585.3125</v>
      </c>
      <c r="I16" s="195">
        <f>Costs!H10</f>
        <v>2245864.5781250005</v>
      </c>
    </row>
    <row r="17" spans="2:9">
      <c r="B17" s="194" t="s">
        <v>16</v>
      </c>
      <c r="C17" s="163"/>
      <c r="D17" s="163">
        <f>Costs!C18</f>
        <v>1877000</v>
      </c>
      <c r="E17" s="163">
        <f>Costs!D18</f>
        <v>2191350</v>
      </c>
      <c r="F17" s="163">
        <f>Costs!E18</f>
        <v>2300917.5</v>
      </c>
      <c r="G17" s="163">
        <f>Costs!F18</f>
        <v>2415963.3750000005</v>
      </c>
      <c r="H17" s="163">
        <f>Costs!G18</f>
        <v>2536761.5437500002</v>
      </c>
      <c r="I17" s="195">
        <f>Costs!H18</f>
        <v>2663599.6209375001</v>
      </c>
    </row>
    <row r="18" spans="2:9">
      <c r="B18" s="194" t="s">
        <v>134</v>
      </c>
      <c r="C18" s="163"/>
      <c r="D18" s="163">
        <f>(Input!$C$97*D79)</f>
        <v>0</v>
      </c>
      <c r="E18" s="163">
        <f>(Input!$C$97*E79)</f>
        <v>0</v>
      </c>
      <c r="F18" s="163">
        <f>(Input!$C$97*F79)</f>
        <v>0</v>
      </c>
      <c r="G18" s="163">
        <f>(Input!$C$97*G79)</f>
        <v>0</v>
      </c>
      <c r="H18" s="163">
        <f>(Input!$C$97*H79)</f>
        <v>0</v>
      </c>
      <c r="I18" s="163">
        <f>(Input!$C$97*I79)</f>
        <v>0</v>
      </c>
    </row>
    <row r="19" spans="2:9">
      <c r="B19" s="186" t="s">
        <v>88</v>
      </c>
      <c r="C19" s="164"/>
      <c r="D19" s="164">
        <f t="shared" ref="D19:I19" si="3">D12-SUM(D16:D18)</f>
        <v>-1011500</v>
      </c>
      <c r="E19" s="164">
        <f t="shared" si="3"/>
        <v>-771536.25000000093</v>
      </c>
      <c r="F19" s="164">
        <f t="shared" si="3"/>
        <v>-206079.16312500136</v>
      </c>
      <c r="G19" s="164">
        <f t="shared" si="3"/>
        <v>497803.53252843488</v>
      </c>
      <c r="H19" s="164">
        <f t="shared" si="3"/>
        <v>1367356.3005924309</v>
      </c>
      <c r="I19" s="187">
        <f t="shared" si="3"/>
        <v>2434935.4551798599</v>
      </c>
    </row>
    <row r="20" spans="2:9">
      <c r="B20" s="194" t="s">
        <v>89</v>
      </c>
      <c r="C20" s="165"/>
      <c r="D20" s="165">
        <f t="shared" ref="D20:I20" si="4">D19/D8</f>
        <v>-0.21578666666666665</v>
      </c>
      <c r="E20" s="165">
        <f t="shared" si="4"/>
        <v>-0.13895685943436067</v>
      </c>
      <c r="F20" s="165">
        <f t="shared" si="4"/>
        <v>-3.133449293418368E-2</v>
      </c>
      <c r="G20" s="165">
        <f t="shared" si="4"/>
        <v>6.3901565547367881E-2</v>
      </c>
      <c r="H20" s="165">
        <f t="shared" si="4"/>
        <v>0.14818360469854688</v>
      </c>
      <c r="I20" s="196">
        <f t="shared" si="4"/>
        <v>0.22277725453307043</v>
      </c>
    </row>
    <row r="21" spans="2:9">
      <c r="B21" s="176" t="s">
        <v>68</v>
      </c>
      <c r="C21" s="167"/>
      <c r="D21" s="167"/>
      <c r="E21" s="167"/>
      <c r="F21" s="167"/>
      <c r="G21" s="167"/>
      <c r="H21" s="167"/>
      <c r="I21" s="183"/>
    </row>
    <row r="22" spans="2:9">
      <c r="B22" s="189" t="s">
        <v>90</v>
      </c>
      <c r="C22" s="163"/>
      <c r="D22" s="163">
        <f>'Capex &amp; Dep'!D12</f>
        <v>93750</v>
      </c>
      <c r="E22" s="163">
        <f>'Capex &amp; Dep'!E12</f>
        <v>93750</v>
      </c>
      <c r="F22" s="163">
        <f>'Capex &amp; Dep'!F12</f>
        <v>93750</v>
      </c>
      <c r="G22" s="163">
        <f>'Capex &amp; Dep'!G12</f>
        <v>93750</v>
      </c>
      <c r="H22" s="163">
        <f>'Capex &amp; Dep'!H12</f>
        <v>93750</v>
      </c>
      <c r="I22" s="195">
        <f>'Capex &amp; Dep'!I12</f>
        <v>93750</v>
      </c>
    </row>
    <row r="23" spans="2:9">
      <c r="B23" s="191" t="s">
        <v>91</v>
      </c>
      <c r="C23" s="161"/>
      <c r="D23" s="161">
        <f t="shared" ref="D23:I23" si="5">D22</f>
        <v>93750</v>
      </c>
      <c r="E23" s="161">
        <f t="shared" si="5"/>
        <v>93750</v>
      </c>
      <c r="F23" s="161">
        <f t="shared" si="5"/>
        <v>93750</v>
      </c>
      <c r="G23" s="161">
        <f t="shared" si="5"/>
        <v>93750</v>
      </c>
      <c r="H23" s="161">
        <f t="shared" si="5"/>
        <v>93750</v>
      </c>
      <c r="I23" s="192">
        <f t="shared" si="5"/>
        <v>93750</v>
      </c>
    </row>
    <row r="24" spans="2:9">
      <c r="B24" s="191"/>
      <c r="C24" s="161"/>
      <c r="D24" s="161"/>
      <c r="E24" s="161"/>
      <c r="F24" s="161"/>
      <c r="G24" s="161"/>
      <c r="H24" s="161"/>
      <c r="I24" s="192"/>
    </row>
    <row r="25" spans="2:9">
      <c r="B25" s="186" t="s">
        <v>92</v>
      </c>
      <c r="C25" s="164"/>
      <c r="D25" s="164">
        <f t="shared" ref="D25:I25" si="6">D19-D23</f>
        <v>-1105250</v>
      </c>
      <c r="E25" s="164">
        <f t="shared" si="6"/>
        <v>-865286.25000000093</v>
      </c>
      <c r="F25" s="164">
        <f t="shared" si="6"/>
        <v>-299829.16312500136</v>
      </c>
      <c r="G25" s="164">
        <f t="shared" si="6"/>
        <v>404053.53252843488</v>
      </c>
      <c r="H25" s="164">
        <f t="shared" si="6"/>
        <v>1273606.3005924309</v>
      </c>
      <c r="I25" s="187">
        <f t="shared" si="6"/>
        <v>2341185.4551798599</v>
      </c>
    </row>
    <row r="26" spans="2:9">
      <c r="B26" s="189" t="s">
        <v>93</v>
      </c>
      <c r="C26" s="165"/>
      <c r="D26" s="165">
        <f t="shared" ref="D26:I26" si="7">D25/D7</f>
        <v>-0.23578666666666667</v>
      </c>
      <c r="E26" s="165">
        <f t="shared" si="7"/>
        <v>-0.15584162093710446</v>
      </c>
      <c r="F26" s="165">
        <f t="shared" si="7"/>
        <v>-4.5589251484410592E-2</v>
      </c>
      <c r="G26" s="165">
        <f t="shared" si="7"/>
        <v>5.1867155627378939E-2</v>
      </c>
      <c r="H26" s="165">
        <f t="shared" si="7"/>
        <v>0.1380236976322835</v>
      </c>
      <c r="I26" s="196">
        <f t="shared" si="7"/>
        <v>0.21419987414787553</v>
      </c>
    </row>
    <row r="27" spans="2:9">
      <c r="B27" s="189"/>
      <c r="C27" s="168"/>
      <c r="D27" s="168"/>
      <c r="E27" s="168"/>
      <c r="F27" s="168"/>
      <c r="G27" s="168"/>
      <c r="H27" s="168"/>
      <c r="I27" s="198"/>
    </row>
    <row r="28" spans="2:9">
      <c r="B28" s="189" t="s">
        <v>94</v>
      </c>
      <c r="C28" s="8"/>
      <c r="D28" s="8">
        <f t="shared" ref="D28:I28" si="8">D99</f>
        <v>0</v>
      </c>
      <c r="E28" s="8">
        <f t="shared" si="8"/>
        <v>59486.593749999978</v>
      </c>
      <c r="F28" s="8">
        <f t="shared" si="8"/>
        <v>84097.449828124954</v>
      </c>
      <c r="G28" s="8">
        <f t="shared" si="8"/>
        <v>113190.10189563269</v>
      </c>
      <c r="H28" s="8">
        <f t="shared" si="8"/>
        <v>144544.25686305267</v>
      </c>
      <c r="I28" s="8">
        <f t="shared" si="8"/>
        <v>201804.0368209728</v>
      </c>
    </row>
    <row r="29" spans="2:9">
      <c r="B29" s="189" t="s">
        <v>95</v>
      </c>
      <c r="C29" s="8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140">
        <v>0</v>
      </c>
    </row>
    <row r="30" spans="2:9">
      <c r="B30" s="189"/>
      <c r="C30" s="161"/>
      <c r="D30" s="161"/>
      <c r="E30" s="161"/>
      <c r="F30" s="161"/>
      <c r="G30" s="161"/>
      <c r="H30" s="161"/>
      <c r="I30" s="192"/>
    </row>
    <row r="31" spans="2:9">
      <c r="B31" s="186" t="s">
        <v>96</v>
      </c>
      <c r="C31" s="164"/>
      <c r="D31" s="164">
        <f t="shared" ref="D31:I31" si="9">D25-D28-D29</f>
        <v>-1105250</v>
      </c>
      <c r="E31" s="164">
        <f t="shared" si="9"/>
        <v>-924772.84375000093</v>
      </c>
      <c r="F31" s="164">
        <f t="shared" si="9"/>
        <v>-383926.61295312631</v>
      </c>
      <c r="G31" s="164">
        <f t="shared" si="9"/>
        <v>290863.43063280219</v>
      </c>
      <c r="H31" s="164">
        <f t="shared" si="9"/>
        <v>1129062.0437293781</v>
      </c>
      <c r="I31" s="187">
        <f t="shared" si="9"/>
        <v>2139381.4183588871</v>
      </c>
    </row>
    <row r="32" spans="2:9" ht="15.75" thickBot="1">
      <c r="B32" s="199" t="s">
        <v>97</v>
      </c>
      <c r="C32" s="200"/>
      <c r="D32" s="200">
        <f t="shared" ref="D32:I32" si="10">D31/D8</f>
        <v>-0.23578666666666667</v>
      </c>
      <c r="E32" s="200">
        <f t="shared" si="10"/>
        <v>-0.16655540171661762</v>
      </c>
      <c r="F32" s="200">
        <f t="shared" si="10"/>
        <v>-5.837633246563452E-2</v>
      </c>
      <c r="G32" s="200">
        <f t="shared" si="10"/>
        <v>3.7337277386340406E-2</v>
      </c>
      <c r="H32" s="200">
        <f t="shared" si="10"/>
        <v>0.12235909798758254</v>
      </c>
      <c r="I32" s="201">
        <f t="shared" si="10"/>
        <v>0.19573640761900765</v>
      </c>
    </row>
    <row r="36" spans="2:9" ht="15.75" thickBot="1">
      <c r="B36" s="158" t="s">
        <v>98</v>
      </c>
      <c r="C36" s="158"/>
      <c r="D36" s="48"/>
      <c r="E36" s="48"/>
      <c r="F36" s="48"/>
      <c r="G36" s="48"/>
      <c r="H36" s="48"/>
      <c r="I36" s="48"/>
    </row>
    <row r="37" spans="2:9" ht="15.75" thickBot="1">
      <c r="B37" s="48"/>
      <c r="C37" s="171" t="s">
        <v>153</v>
      </c>
      <c r="D37" s="171">
        <f>start_year</f>
        <v>2024</v>
      </c>
      <c r="E37" s="171">
        <f>D37+1</f>
        <v>2025</v>
      </c>
      <c r="F37" s="171">
        <f>E37+1</f>
        <v>2026</v>
      </c>
      <c r="G37" s="171">
        <f>F37+1</f>
        <v>2027</v>
      </c>
      <c r="H37" s="171">
        <f>G37+1</f>
        <v>2028</v>
      </c>
      <c r="I37" s="171">
        <f>H37+1</f>
        <v>2029</v>
      </c>
    </row>
    <row r="38" spans="2:9">
      <c r="B38" s="50" t="s">
        <v>99</v>
      </c>
      <c r="C38" s="242"/>
      <c r="D38" s="51"/>
      <c r="E38" s="51"/>
      <c r="F38" s="51"/>
      <c r="G38" s="51"/>
      <c r="H38" s="51"/>
      <c r="I38" s="130"/>
    </row>
    <row r="39" spans="2:9">
      <c r="B39" s="172" t="s">
        <v>96</v>
      </c>
      <c r="C39" s="244">
        <v>0</v>
      </c>
      <c r="D39" s="169">
        <f t="shared" ref="D39:I39" si="11">D31</f>
        <v>-1105250</v>
      </c>
      <c r="E39" s="169">
        <f t="shared" si="11"/>
        <v>-924772.84375000093</v>
      </c>
      <c r="F39" s="169">
        <f t="shared" si="11"/>
        <v>-383926.61295312631</v>
      </c>
      <c r="G39" s="169">
        <f t="shared" si="11"/>
        <v>290863.43063280219</v>
      </c>
      <c r="H39" s="169">
        <f t="shared" si="11"/>
        <v>1129062.0437293781</v>
      </c>
      <c r="I39" s="173">
        <f t="shared" si="11"/>
        <v>2139381.4183588871</v>
      </c>
    </row>
    <row r="40" spans="2:9">
      <c r="B40" s="172" t="s">
        <v>68</v>
      </c>
      <c r="C40" s="244">
        <v>0</v>
      </c>
      <c r="D40" s="169">
        <f t="shared" ref="D40:I40" si="12">D22</f>
        <v>93750</v>
      </c>
      <c r="E40" s="169">
        <f t="shared" si="12"/>
        <v>93750</v>
      </c>
      <c r="F40" s="169">
        <f t="shared" si="12"/>
        <v>93750</v>
      </c>
      <c r="G40" s="169">
        <f t="shared" si="12"/>
        <v>93750</v>
      </c>
      <c r="H40" s="169">
        <f t="shared" si="12"/>
        <v>93750</v>
      </c>
      <c r="I40" s="173">
        <f t="shared" si="12"/>
        <v>93750</v>
      </c>
    </row>
    <row r="41" spans="2:9">
      <c r="B41" s="172" t="s">
        <v>100</v>
      </c>
      <c r="C41" s="244">
        <v>0</v>
      </c>
      <c r="D41" s="169">
        <f>'Working Capital'!C13</f>
        <v>1520416.6666666665</v>
      </c>
      <c r="E41" s="169">
        <f>'Working Capital'!D13</f>
        <v>286760.41666666651</v>
      </c>
      <c r="F41" s="169">
        <f>'Working Capital'!E13</f>
        <v>339872.26562499953</v>
      </c>
      <c r="G41" s="169">
        <f>'Working Capital'!F13</f>
        <v>402793.47832031222</v>
      </c>
      <c r="H41" s="169">
        <f>'Working Capital'!G13</f>
        <v>477334.3937422852</v>
      </c>
      <c r="I41" s="173">
        <f>'Working Capital'!H13</f>
        <v>565639.38399320468</v>
      </c>
    </row>
    <row r="42" spans="2:9">
      <c r="B42" s="181" t="s">
        <v>101</v>
      </c>
      <c r="C42" s="169">
        <f t="shared" ref="C42:I42" si="13">C39+C40-C41</f>
        <v>0</v>
      </c>
      <c r="D42" s="169">
        <f t="shared" si="13"/>
        <v>-2531916.6666666665</v>
      </c>
      <c r="E42" s="169">
        <f t="shared" si="13"/>
        <v>-1117783.2604166674</v>
      </c>
      <c r="F42" s="169">
        <f t="shared" si="13"/>
        <v>-630048.87857812585</v>
      </c>
      <c r="G42" s="169">
        <f t="shared" si="13"/>
        <v>-18180.047687510028</v>
      </c>
      <c r="H42" s="169">
        <f t="shared" si="13"/>
        <v>745477.64998709294</v>
      </c>
      <c r="I42" s="173">
        <f t="shared" si="13"/>
        <v>1667492.0343656824</v>
      </c>
    </row>
    <row r="43" spans="2:9">
      <c r="B43" s="182"/>
      <c r="C43" s="246"/>
      <c r="D43" s="169"/>
      <c r="E43" s="169"/>
      <c r="F43" s="169"/>
      <c r="G43" s="169"/>
      <c r="H43" s="169"/>
      <c r="I43" s="173"/>
    </row>
    <row r="44" spans="2:9">
      <c r="B44" s="176" t="s">
        <v>102</v>
      </c>
      <c r="C44" s="243"/>
      <c r="D44" s="167"/>
      <c r="E44" s="167"/>
      <c r="F44" s="167"/>
      <c r="G44" s="167"/>
      <c r="H44" s="167"/>
      <c r="I44" s="183"/>
    </row>
    <row r="45" spans="2:9">
      <c r="B45" s="172" t="s">
        <v>103</v>
      </c>
      <c r="C45" s="169">
        <f>'Capex &amp; Dep'!C7</f>
        <v>937500</v>
      </c>
      <c r="D45" s="169">
        <f>'Capex &amp; Dep'!D7</f>
        <v>0</v>
      </c>
      <c r="E45" s="169">
        <f>'Capex &amp; Dep'!E7</f>
        <v>0</v>
      </c>
      <c r="F45" s="169">
        <f>'Capex &amp; Dep'!F7</f>
        <v>0</v>
      </c>
      <c r="G45" s="169">
        <f>'Capex &amp; Dep'!G7</f>
        <v>0</v>
      </c>
      <c r="H45" s="169">
        <f>'Capex &amp; Dep'!H7</f>
        <v>0</v>
      </c>
      <c r="I45" s="173">
        <f>'Capex &amp; Dep'!I7</f>
        <v>0</v>
      </c>
    </row>
    <row r="46" spans="2:9">
      <c r="B46" s="181" t="s">
        <v>104</v>
      </c>
      <c r="C46" s="169">
        <f t="shared" ref="C46:I46" si="14">-C45</f>
        <v>-937500</v>
      </c>
      <c r="D46" s="169">
        <f t="shared" si="14"/>
        <v>0</v>
      </c>
      <c r="E46" s="169">
        <f t="shared" si="14"/>
        <v>0</v>
      </c>
      <c r="F46" s="169">
        <f t="shared" si="14"/>
        <v>0</v>
      </c>
      <c r="G46" s="169">
        <f t="shared" si="14"/>
        <v>0</v>
      </c>
      <c r="H46" s="169">
        <f t="shared" si="14"/>
        <v>0</v>
      </c>
      <c r="I46" s="173">
        <f t="shared" si="14"/>
        <v>0</v>
      </c>
    </row>
    <row r="47" spans="2:9">
      <c r="B47" s="181"/>
      <c r="C47" s="245"/>
      <c r="D47" s="169"/>
      <c r="E47" s="169"/>
      <c r="F47" s="169"/>
      <c r="G47" s="169"/>
      <c r="H47" s="169"/>
      <c r="I47" s="173"/>
    </row>
    <row r="48" spans="2:9">
      <c r="B48" s="182"/>
      <c r="C48" s="246"/>
      <c r="D48" s="169"/>
      <c r="E48" s="169"/>
      <c r="F48" s="169"/>
      <c r="G48" s="169"/>
      <c r="H48" s="169"/>
      <c r="I48" s="173"/>
    </row>
    <row r="49" spans="2:9">
      <c r="B49" s="184"/>
      <c r="C49" s="247"/>
      <c r="D49" s="169"/>
      <c r="E49" s="169"/>
      <c r="F49" s="169"/>
      <c r="G49" s="169"/>
      <c r="H49" s="169"/>
      <c r="I49" s="173"/>
    </row>
    <row r="50" spans="2:9">
      <c r="B50" s="176" t="s">
        <v>105</v>
      </c>
      <c r="C50" s="243"/>
      <c r="D50" s="167"/>
      <c r="E50" s="167"/>
      <c r="F50" s="167"/>
      <c r="G50" s="167"/>
      <c r="H50" s="167"/>
      <c r="I50" s="183"/>
    </row>
    <row r="51" spans="2:9">
      <c r="B51" s="172" t="str">
        <f>Input!B86</f>
        <v>Hevolution</v>
      </c>
      <c r="C51" s="169">
        <f>Input!C86</f>
        <v>2550000</v>
      </c>
      <c r="D51" s="169">
        <f>Input!D86</f>
        <v>2550000</v>
      </c>
      <c r="E51" s="169">
        <f>Input!E86</f>
        <v>1250000</v>
      </c>
      <c r="F51" s="169">
        <f>Input!F86</f>
        <v>750000</v>
      </c>
      <c r="G51" s="169">
        <f>Input!G86</f>
        <v>0</v>
      </c>
      <c r="H51" s="169">
        <f>Input!H86</f>
        <v>0</v>
      </c>
      <c r="I51" s="169">
        <f>Input!I86</f>
        <v>0</v>
      </c>
    </row>
    <row r="52" spans="2:9">
      <c r="B52" s="172" t="str">
        <f>Input!B87</f>
        <v>Other Parties</v>
      </c>
      <c r="C52" s="169">
        <f>Input!C87</f>
        <v>0</v>
      </c>
      <c r="D52" s="169">
        <f>Input!D87</f>
        <v>0</v>
      </c>
      <c r="E52" s="169">
        <f>Input!E87</f>
        <v>0</v>
      </c>
      <c r="F52" s="169">
        <f>Input!F87</f>
        <v>0</v>
      </c>
      <c r="G52" s="169">
        <f>Input!G87</f>
        <v>0</v>
      </c>
      <c r="H52" s="169">
        <f>Input!H87</f>
        <v>0</v>
      </c>
      <c r="I52" s="169">
        <f>Input!I87</f>
        <v>0</v>
      </c>
    </row>
    <row r="53" spans="2:9">
      <c r="B53" s="185" t="s">
        <v>111</v>
      </c>
      <c r="C53" s="248">
        <v>0</v>
      </c>
      <c r="D53" s="169">
        <f>IF(Input!$C$95=0,Input!$C$87/Input!$C$96,0)</f>
        <v>0</v>
      </c>
      <c r="E53" s="169">
        <f>IF(Input!$C$95&gt;1,0,Input!$C$87/Input!$C$96)</f>
        <v>0</v>
      </c>
      <c r="F53" s="169">
        <f>IF(Input!$C$95&gt;2,0,Input!$C$87/Input!$C$96)</f>
        <v>0</v>
      </c>
      <c r="G53" s="169">
        <f>IF(Input!$C$95&gt;3,0,Input!$C$87/Input!$C$96)</f>
        <v>0</v>
      </c>
      <c r="H53" s="169">
        <f>IF(Input!$C$95&gt;4,0,Input!$C$87/Input!$C$96)</f>
        <v>0</v>
      </c>
      <c r="I53" s="173">
        <f>IF(Input!$C$95=0,0,Input!$C$87/Input!$C$96)</f>
        <v>0</v>
      </c>
    </row>
    <row r="54" spans="2:9">
      <c r="B54" s="181" t="s">
        <v>106</v>
      </c>
      <c r="C54" s="169">
        <f t="shared" ref="C54:I54" si="15">C51+C52-C53</f>
        <v>2550000</v>
      </c>
      <c r="D54" s="169">
        <f t="shared" si="15"/>
        <v>2550000</v>
      </c>
      <c r="E54" s="169">
        <f t="shared" si="15"/>
        <v>1250000</v>
      </c>
      <c r="F54" s="169">
        <f t="shared" si="15"/>
        <v>750000</v>
      </c>
      <c r="G54" s="169">
        <f t="shared" si="15"/>
        <v>0</v>
      </c>
      <c r="H54" s="169">
        <f t="shared" si="15"/>
        <v>0</v>
      </c>
      <c r="I54" s="173">
        <f t="shared" si="15"/>
        <v>0</v>
      </c>
    </row>
    <row r="55" spans="2:9">
      <c r="B55" s="182"/>
      <c r="C55" s="246"/>
      <c r="D55" s="169"/>
      <c r="E55" s="169"/>
      <c r="F55" s="169"/>
      <c r="G55" s="169"/>
      <c r="H55" s="169"/>
      <c r="I55" s="173"/>
    </row>
    <row r="56" spans="2:9">
      <c r="B56" s="186" t="s">
        <v>107</v>
      </c>
      <c r="C56" s="164">
        <f t="shared" ref="C56:I56" si="16">C42+C46+C54</f>
        <v>1612500</v>
      </c>
      <c r="D56" s="164">
        <f t="shared" si="16"/>
        <v>18083.333333333489</v>
      </c>
      <c r="E56" s="164">
        <f t="shared" si="16"/>
        <v>132216.73958333256</v>
      </c>
      <c r="F56" s="164">
        <f t="shared" si="16"/>
        <v>119951.12142187415</v>
      </c>
      <c r="G56" s="164">
        <f t="shared" si="16"/>
        <v>-18180.047687510028</v>
      </c>
      <c r="H56" s="164">
        <f t="shared" si="16"/>
        <v>745477.64998709294</v>
      </c>
      <c r="I56" s="187">
        <f t="shared" si="16"/>
        <v>1667492.0343656824</v>
      </c>
    </row>
    <row r="57" spans="2:9">
      <c r="B57" s="182"/>
      <c r="C57" s="246"/>
      <c r="D57" s="169"/>
      <c r="E57" s="169"/>
      <c r="F57" s="169"/>
      <c r="G57" s="169"/>
      <c r="H57" s="169"/>
      <c r="I57" s="173"/>
    </row>
    <row r="58" spans="2:9">
      <c r="B58" s="176" t="s">
        <v>108</v>
      </c>
      <c r="C58" s="243"/>
      <c r="D58" s="167"/>
      <c r="E58" s="167"/>
      <c r="F58" s="167"/>
      <c r="G58" s="167"/>
      <c r="H58" s="167"/>
      <c r="I58" s="183"/>
    </row>
    <row r="59" spans="2:9">
      <c r="B59" s="172" t="s">
        <v>109</v>
      </c>
      <c r="C59" s="244">
        <v>0</v>
      </c>
      <c r="D59" s="169">
        <f t="shared" ref="D59:I59" si="17">C60</f>
        <v>1612500</v>
      </c>
      <c r="E59" s="169">
        <f t="shared" si="17"/>
        <v>1630583.3333333335</v>
      </c>
      <c r="F59" s="169">
        <f t="shared" si="17"/>
        <v>1762800.072916666</v>
      </c>
      <c r="G59" s="169">
        <f t="shared" si="17"/>
        <v>1882751.1943385401</v>
      </c>
      <c r="H59" s="169">
        <f t="shared" si="17"/>
        <v>1864571.1466510301</v>
      </c>
      <c r="I59" s="173">
        <f t="shared" si="17"/>
        <v>2610048.7966381228</v>
      </c>
    </row>
    <row r="60" spans="2:9" ht="15.75" thickBot="1">
      <c r="B60" s="188" t="s">
        <v>110</v>
      </c>
      <c r="C60" s="253">
        <f>C56</f>
        <v>1612500</v>
      </c>
      <c r="D60" s="179">
        <f t="shared" ref="D60:I60" si="18">D59+D56</f>
        <v>1630583.3333333335</v>
      </c>
      <c r="E60" s="179">
        <f t="shared" si="18"/>
        <v>1762800.072916666</v>
      </c>
      <c r="F60" s="179">
        <f t="shared" si="18"/>
        <v>1882751.1943385401</v>
      </c>
      <c r="G60" s="179">
        <f t="shared" si="18"/>
        <v>1864571.1466510301</v>
      </c>
      <c r="H60" s="179">
        <f t="shared" si="18"/>
        <v>2610048.7966381228</v>
      </c>
      <c r="I60" s="180">
        <f t="shared" si="18"/>
        <v>4277540.8310038056</v>
      </c>
    </row>
    <row r="62" spans="2:9">
      <c r="B62" s="254" t="s">
        <v>157</v>
      </c>
      <c r="D62" s="255" t="e">
        <f>(D42+D18-D45+C60)/(D18+D53)</f>
        <v>#DIV/0!</v>
      </c>
      <c r="E62" s="255" t="e">
        <f>(E42+E18-E45)/(E18+E53)</f>
        <v>#DIV/0!</v>
      </c>
      <c r="F62" s="255" t="e">
        <f>(F42+F18-F45)/(F18+F53)</f>
        <v>#DIV/0!</v>
      </c>
      <c r="G62" s="255" t="e">
        <f>(G42+G18-G45)/(G18+G53)</f>
        <v>#DIV/0!</v>
      </c>
      <c r="H62" s="255" t="e">
        <f>(H42+H18-H45)/(H18+H53)</f>
        <v>#DIV/0!</v>
      </c>
      <c r="I62" s="255" t="e">
        <f>(I42+I18-I45)/(I18+I53)</f>
        <v>#DIV/0!</v>
      </c>
    </row>
    <row r="64" spans="2:9" ht="15.75" thickBot="1">
      <c r="B64" s="158" t="s">
        <v>112</v>
      </c>
      <c r="C64" s="158"/>
      <c r="D64" s="48"/>
      <c r="E64" s="48"/>
      <c r="F64" s="48"/>
      <c r="G64" s="48"/>
      <c r="H64" s="48"/>
      <c r="I64" s="48"/>
    </row>
    <row r="65" spans="2:9" ht="15.75" thickBot="1">
      <c r="B65" s="48"/>
      <c r="C65" s="171" t="s">
        <v>153</v>
      </c>
      <c r="D65" s="171">
        <f>start_year</f>
        <v>2024</v>
      </c>
      <c r="E65" s="171">
        <f>D65+1</f>
        <v>2025</v>
      </c>
      <c r="F65" s="171">
        <f>E65+1</f>
        <v>2026</v>
      </c>
      <c r="G65" s="171">
        <f>F65+1</f>
        <v>2027</v>
      </c>
      <c r="H65" s="171">
        <f>G65+1</f>
        <v>2028</v>
      </c>
      <c r="I65" s="171">
        <f>H65+1</f>
        <v>2029</v>
      </c>
    </row>
    <row r="66" spans="2:9">
      <c r="B66" s="50" t="s">
        <v>64</v>
      </c>
      <c r="C66" s="242"/>
      <c r="D66" s="51"/>
      <c r="E66" s="51"/>
      <c r="F66" s="51"/>
      <c r="G66" s="51"/>
      <c r="H66" s="51"/>
      <c r="I66" s="130"/>
    </row>
    <row r="67" spans="2:9">
      <c r="B67" s="172" t="s">
        <v>113</v>
      </c>
      <c r="C67" s="169">
        <f>'Capex &amp; Dep'!C13</f>
        <v>937500</v>
      </c>
      <c r="D67" s="169">
        <f>'Capex &amp; Dep'!D13</f>
        <v>843750</v>
      </c>
      <c r="E67" s="169">
        <f>'Capex &amp; Dep'!E13</f>
        <v>750000</v>
      </c>
      <c r="F67" s="169">
        <f>'Capex &amp; Dep'!F13</f>
        <v>656250</v>
      </c>
      <c r="G67" s="169">
        <f>'Capex &amp; Dep'!G13</f>
        <v>562500</v>
      </c>
      <c r="H67" s="169">
        <f>'Capex &amp; Dep'!H13</f>
        <v>468750</v>
      </c>
      <c r="I67" s="173">
        <f>'Capex &amp; Dep'!I13</f>
        <v>375000</v>
      </c>
    </row>
    <row r="68" spans="2:9">
      <c r="B68" s="172" t="s">
        <v>114</v>
      </c>
      <c r="C68" s="169">
        <f t="shared" ref="C68:I68" si="19">SUM(C69:C72)</f>
        <v>1612500</v>
      </c>
      <c r="D68" s="169">
        <f t="shared" si="19"/>
        <v>3362416.666666667</v>
      </c>
      <c r="E68" s="169">
        <f t="shared" si="19"/>
        <v>3801917.1562499995</v>
      </c>
      <c r="F68" s="169">
        <f t="shared" si="19"/>
        <v>4285233.9045468727</v>
      </c>
      <c r="G68" s="169">
        <f t="shared" si="19"/>
        <v>4696817.8681427995</v>
      </c>
      <c r="H68" s="169">
        <f t="shared" si="19"/>
        <v>5950676.2870576242</v>
      </c>
      <c r="I68" s="173">
        <f t="shared" si="19"/>
        <v>8219636.9046588298</v>
      </c>
    </row>
    <row r="69" spans="2:9">
      <c r="B69" s="174" t="s">
        <v>115</v>
      </c>
      <c r="C69" s="170">
        <f t="shared" ref="C69:I69" si="20">MAX(0,+C60)</f>
        <v>1612500</v>
      </c>
      <c r="D69" s="170">
        <f t="shared" si="20"/>
        <v>1630583.3333333335</v>
      </c>
      <c r="E69" s="170">
        <f t="shared" si="20"/>
        <v>1762800.072916666</v>
      </c>
      <c r="F69" s="170">
        <f t="shared" si="20"/>
        <v>1882751.1943385401</v>
      </c>
      <c r="G69" s="170">
        <f t="shared" si="20"/>
        <v>1864571.1466510301</v>
      </c>
      <c r="H69" s="170">
        <f t="shared" si="20"/>
        <v>2610048.7966381228</v>
      </c>
      <c r="I69" s="175">
        <f t="shared" si="20"/>
        <v>4277540.8310038056</v>
      </c>
    </row>
    <row r="70" spans="2:9">
      <c r="B70" s="174" t="s">
        <v>117</v>
      </c>
      <c r="C70" s="249">
        <v>0</v>
      </c>
      <c r="D70" s="170">
        <f>'Working Capital'!C10</f>
        <v>1562500</v>
      </c>
      <c r="E70" s="170">
        <f>'Working Capital'!D10</f>
        <v>1850781.2499999998</v>
      </c>
      <c r="F70" s="170">
        <f>'Working Capital'!E10</f>
        <v>2192250.3906249995</v>
      </c>
      <c r="G70" s="170">
        <f>'Working Capital'!F10</f>
        <v>2596720.5876953118</v>
      </c>
      <c r="H70" s="170">
        <f>'Working Capital'!G10</f>
        <v>3075815.5361250965</v>
      </c>
      <c r="I70" s="175">
        <f>'Working Capital'!H10</f>
        <v>3643303.5025401763</v>
      </c>
    </row>
    <row r="71" spans="2:9">
      <c r="B71" s="174" t="s">
        <v>138</v>
      </c>
      <c r="C71" s="249">
        <v>0</v>
      </c>
      <c r="D71" s="170">
        <f>'Working Capital'!C9</f>
        <v>169333.33333333334</v>
      </c>
      <c r="E71" s="170">
        <f>'Working Capital'!D9</f>
        <v>188335.83333333334</v>
      </c>
      <c r="F71" s="170">
        <f>'Working Capital'!E9</f>
        <v>210232.31958333327</v>
      </c>
      <c r="G71" s="170">
        <f>'Working Capital'!F9</f>
        <v>235526.13379645828</v>
      </c>
      <c r="H71" s="170">
        <f>'Working Capital'!G9</f>
        <v>264811.95429440483</v>
      </c>
      <c r="I71" s="175">
        <f>'Working Capital'!H9</f>
        <v>298792.57111484749</v>
      </c>
    </row>
    <row r="72" spans="2:9">
      <c r="B72" s="174" t="s">
        <v>118</v>
      </c>
      <c r="C72" s="249"/>
      <c r="D72" s="170"/>
      <c r="E72" s="170"/>
      <c r="F72" s="170"/>
      <c r="G72" s="170"/>
      <c r="H72" s="170"/>
      <c r="I72" s="175"/>
    </row>
    <row r="73" spans="2:9">
      <c r="B73" s="176" t="s">
        <v>119</v>
      </c>
      <c r="C73" s="243"/>
      <c r="D73" s="159"/>
      <c r="E73" s="159"/>
      <c r="F73" s="159"/>
      <c r="G73" s="159"/>
      <c r="H73" s="159"/>
      <c r="I73" s="177"/>
    </row>
    <row r="74" spans="2:9">
      <c r="B74" s="172" t="s">
        <v>120</v>
      </c>
      <c r="C74" s="169">
        <f t="shared" ref="C74:I74" si="21">SUM(C75:C77)</f>
        <v>0</v>
      </c>
      <c r="D74" s="169">
        <f t="shared" si="21"/>
        <v>211416.66666666669</v>
      </c>
      <c r="E74" s="169">
        <f t="shared" si="21"/>
        <v>231940</v>
      </c>
      <c r="F74" s="169">
        <f t="shared" si="21"/>
        <v>255433.36124999996</v>
      </c>
      <c r="G74" s="169">
        <f t="shared" si="21"/>
        <v>282403.89421312499</v>
      </c>
      <c r="H74" s="169">
        <f t="shared" si="21"/>
        <v>313450.26939857146</v>
      </c>
      <c r="I74" s="173">
        <f t="shared" si="21"/>
        <v>349279.46864088916</v>
      </c>
    </row>
    <row r="75" spans="2:9">
      <c r="B75" s="174" t="s">
        <v>122</v>
      </c>
      <c r="C75" s="170">
        <f t="shared" ref="C75:I75" si="22">0-MIN(0,+C60)</f>
        <v>0</v>
      </c>
      <c r="D75" s="170">
        <f t="shared" si="22"/>
        <v>0</v>
      </c>
      <c r="E75" s="170">
        <f t="shared" si="22"/>
        <v>0</v>
      </c>
      <c r="F75" s="170">
        <f t="shared" si="22"/>
        <v>0</v>
      </c>
      <c r="G75" s="170">
        <f t="shared" si="22"/>
        <v>0</v>
      </c>
      <c r="H75" s="170">
        <f t="shared" si="22"/>
        <v>0</v>
      </c>
      <c r="I75" s="175">
        <f t="shared" si="22"/>
        <v>0</v>
      </c>
    </row>
    <row r="76" spans="2:9">
      <c r="B76" s="174" t="s">
        <v>116</v>
      </c>
      <c r="C76" s="249">
        <v>0</v>
      </c>
      <c r="D76" s="170">
        <f>'Working Capital'!C8</f>
        <v>211416.66666666669</v>
      </c>
      <c r="E76" s="170">
        <f>'Working Capital'!D8</f>
        <v>231940</v>
      </c>
      <c r="F76" s="170">
        <f>'Working Capital'!E8</f>
        <v>255433.36124999996</v>
      </c>
      <c r="G76" s="170">
        <f>'Working Capital'!F8</f>
        <v>282403.89421312499</v>
      </c>
      <c r="H76" s="170">
        <f>'Working Capital'!G8</f>
        <v>313450.26939857146</v>
      </c>
      <c r="I76" s="175">
        <f>'Working Capital'!H8</f>
        <v>349279.46864088916</v>
      </c>
    </row>
    <row r="77" spans="2:9">
      <c r="B77" s="174" t="s">
        <v>118</v>
      </c>
      <c r="C77" s="249"/>
      <c r="D77" s="170"/>
      <c r="E77" s="170"/>
      <c r="F77" s="170"/>
      <c r="G77" s="170"/>
      <c r="H77" s="170"/>
      <c r="I77" s="175"/>
    </row>
    <row r="78" spans="2:9">
      <c r="B78" s="172" t="s">
        <v>121</v>
      </c>
      <c r="C78" s="169">
        <f t="shared" ref="C78:I78" si="23">SUM(C79:C80)</f>
        <v>0</v>
      </c>
      <c r="D78" s="169">
        <f t="shared" si="23"/>
        <v>0</v>
      </c>
      <c r="E78" s="169">
        <f t="shared" si="23"/>
        <v>0</v>
      </c>
      <c r="F78" s="169">
        <f t="shared" si="23"/>
        <v>0</v>
      </c>
      <c r="G78" s="169">
        <f t="shared" si="23"/>
        <v>0</v>
      </c>
      <c r="H78" s="169">
        <f t="shared" si="23"/>
        <v>0</v>
      </c>
      <c r="I78" s="173">
        <f t="shared" si="23"/>
        <v>0</v>
      </c>
    </row>
    <row r="79" spans="2:9">
      <c r="B79" s="174" t="s">
        <v>123</v>
      </c>
      <c r="C79" s="170">
        <f>Input!C87</f>
        <v>0</v>
      </c>
      <c r="D79" s="170">
        <f>Input!D87-D53+C79</f>
        <v>0</v>
      </c>
      <c r="E79" s="170">
        <f>Input!E87-E53+D79</f>
        <v>0</v>
      </c>
      <c r="F79" s="170">
        <f>Input!F87-F53+E79</f>
        <v>0</v>
      </c>
      <c r="G79" s="170">
        <f>Input!G87-G53+F79</f>
        <v>0</v>
      </c>
      <c r="H79" s="170">
        <f>Input!H87-H53+G79</f>
        <v>0</v>
      </c>
      <c r="I79" s="170">
        <f>Input!I87-I53+H79</f>
        <v>0</v>
      </c>
    </row>
    <row r="80" spans="2:9">
      <c r="B80" s="174" t="s">
        <v>124</v>
      </c>
      <c r="C80" s="249"/>
      <c r="D80" s="170"/>
      <c r="E80" s="170"/>
      <c r="F80" s="170"/>
      <c r="G80" s="170"/>
      <c r="H80" s="170"/>
      <c r="I80" s="175"/>
    </row>
    <row r="81" spans="2:9">
      <c r="B81" s="176" t="s">
        <v>125</v>
      </c>
      <c r="C81" s="162">
        <f t="shared" ref="C81:I81" si="24">SUM(C82:C83)</f>
        <v>2550000</v>
      </c>
      <c r="D81" s="159">
        <f t="shared" si="24"/>
        <v>3994750</v>
      </c>
      <c r="E81" s="159">
        <f t="shared" si="24"/>
        <v>4319977.1562499991</v>
      </c>
      <c r="F81" s="159">
        <f t="shared" si="24"/>
        <v>4686050.5432968726</v>
      </c>
      <c r="G81" s="159">
        <f t="shared" si="24"/>
        <v>4976913.9739296753</v>
      </c>
      <c r="H81" s="159">
        <f t="shared" si="24"/>
        <v>6105976.0176590532</v>
      </c>
      <c r="I81" s="177">
        <f t="shared" si="24"/>
        <v>8245357.4360179398</v>
      </c>
    </row>
    <row r="82" spans="2:9">
      <c r="B82" s="172" t="s">
        <v>126</v>
      </c>
      <c r="C82" s="169">
        <f>C51</f>
        <v>2550000</v>
      </c>
      <c r="D82" s="169">
        <f>D51+C82</f>
        <v>5100000</v>
      </c>
      <c r="E82" s="169">
        <f>D82+E51</f>
        <v>6350000</v>
      </c>
      <c r="F82" s="169">
        <f>E82+F51</f>
        <v>7100000</v>
      </c>
      <c r="G82" s="169">
        <f>F82+G51</f>
        <v>7100000</v>
      </c>
      <c r="H82" s="169">
        <f>G82+H51</f>
        <v>7100000</v>
      </c>
      <c r="I82" s="173">
        <f>H82+I51</f>
        <v>7100000</v>
      </c>
    </row>
    <row r="83" spans="2:9" ht="15.75" thickBot="1">
      <c r="B83" s="178" t="s">
        <v>127</v>
      </c>
      <c r="C83" s="179">
        <f>C31</f>
        <v>0</v>
      </c>
      <c r="D83" s="179">
        <f>D31</f>
        <v>-1105250</v>
      </c>
      <c r="E83" s="179">
        <f>D83+E31</f>
        <v>-2030022.8437500009</v>
      </c>
      <c r="F83" s="179">
        <f>E83+F31</f>
        <v>-2413949.4567031274</v>
      </c>
      <c r="G83" s="179">
        <f>F83+G31</f>
        <v>-2123086.0260703252</v>
      </c>
      <c r="H83" s="179">
        <f>G83+H31</f>
        <v>-994023.98234094703</v>
      </c>
      <c r="I83" s="180">
        <f>H83+I31</f>
        <v>1145357.4360179401</v>
      </c>
    </row>
    <row r="86" spans="2:9">
      <c r="B86" s="202" t="s">
        <v>128</v>
      </c>
      <c r="C86" s="225">
        <f t="shared" ref="C86:I86" si="25">C67+C68-C74-C78-C81</f>
        <v>0</v>
      </c>
      <c r="D86" s="225">
        <f t="shared" si="25"/>
        <v>0</v>
      </c>
      <c r="E86" s="225">
        <f t="shared" si="25"/>
        <v>0</v>
      </c>
      <c r="F86" s="225">
        <f t="shared" si="25"/>
        <v>0</v>
      </c>
      <c r="G86" s="225">
        <f t="shared" si="25"/>
        <v>0</v>
      </c>
      <c r="H86" s="225">
        <f t="shared" si="25"/>
        <v>0</v>
      </c>
      <c r="I86" s="225">
        <f t="shared" si="25"/>
        <v>0</v>
      </c>
    </row>
    <row r="87" spans="2:9">
      <c r="B87" s="203" t="s">
        <v>129</v>
      </c>
      <c r="C87" s="224">
        <f>C83-0-C31</f>
        <v>0</v>
      </c>
      <c r="D87" s="224">
        <f>D83-0-D31</f>
        <v>0</v>
      </c>
      <c r="E87" s="224">
        <f>E83-D83-E31</f>
        <v>0</v>
      </c>
      <c r="F87" s="224">
        <f>F83-E83-F31</f>
        <v>0</v>
      </c>
      <c r="G87" s="224">
        <f>G83-F83-G31</f>
        <v>0</v>
      </c>
      <c r="H87" s="224">
        <f>H83-G83-H31</f>
        <v>0</v>
      </c>
      <c r="I87" s="224">
        <f>I83-H83-I31</f>
        <v>0</v>
      </c>
    </row>
    <row r="88" spans="2:9">
      <c r="B88" s="202" t="s">
        <v>130</v>
      </c>
      <c r="C88" s="224">
        <f>C69-A69-C75+A75-C60+A60</f>
        <v>0</v>
      </c>
      <c r="D88" s="224">
        <f t="shared" ref="D88:I88" si="26">D69-C69-D75+C75-D60+C60</f>
        <v>0</v>
      </c>
      <c r="E88" s="224">
        <f t="shared" si="26"/>
        <v>0</v>
      </c>
      <c r="F88" s="224">
        <f t="shared" si="26"/>
        <v>0</v>
      </c>
      <c r="G88" s="224">
        <f t="shared" si="26"/>
        <v>0</v>
      </c>
      <c r="H88" s="224">
        <f t="shared" si="26"/>
        <v>0</v>
      </c>
      <c r="I88" s="224">
        <f t="shared" si="26"/>
        <v>0</v>
      </c>
    </row>
    <row r="91" spans="2:9" ht="15.75" thickBot="1"/>
    <row r="92" spans="2:9" ht="15.75" thickBot="1">
      <c r="B92" s="229" t="s">
        <v>146</v>
      </c>
      <c r="C92" s="171" t="s">
        <v>153</v>
      </c>
      <c r="D92" s="230">
        <f t="shared" ref="D92:I92" si="27">D65</f>
        <v>2024</v>
      </c>
      <c r="E92" s="230">
        <f t="shared" si="27"/>
        <v>2025</v>
      </c>
      <c r="F92" s="230">
        <f t="shared" si="27"/>
        <v>2026</v>
      </c>
      <c r="G92" s="230">
        <f t="shared" si="27"/>
        <v>2027</v>
      </c>
      <c r="H92" s="230">
        <f t="shared" si="27"/>
        <v>2028</v>
      </c>
      <c r="I92" s="230">
        <f t="shared" si="27"/>
        <v>2029</v>
      </c>
    </row>
    <row r="93" spans="2:9">
      <c r="B93" s="231" t="s">
        <v>147</v>
      </c>
      <c r="C93" s="232">
        <v>0</v>
      </c>
      <c r="D93" s="232">
        <v>0</v>
      </c>
      <c r="E93" s="233">
        <f>D81</f>
        <v>3994750</v>
      </c>
      <c r="F93" s="233">
        <f>E81</f>
        <v>4319977.1562499991</v>
      </c>
      <c r="G93" s="233">
        <f>F81</f>
        <v>4686050.5432968726</v>
      </c>
      <c r="H93" s="233">
        <f>G81</f>
        <v>4976913.9739296753</v>
      </c>
      <c r="I93" s="234">
        <f>H81</f>
        <v>6105976.0176590532</v>
      </c>
    </row>
    <row r="94" spans="2:9">
      <c r="B94" s="231" t="s">
        <v>148</v>
      </c>
      <c r="C94" s="232">
        <v>0</v>
      </c>
      <c r="D94" s="232">
        <v>0</v>
      </c>
      <c r="E94" s="233">
        <f>E78</f>
        <v>0</v>
      </c>
      <c r="F94" s="233">
        <f>F78</f>
        <v>0</v>
      </c>
      <c r="G94" s="233">
        <f>G78</f>
        <v>0</v>
      </c>
      <c r="H94" s="233">
        <f>H78</f>
        <v>0</v>
      </c>
      <c r="I94" s="234">
        <f>I78</f>
        <v>0</v>
      </c>
    </row>
    <row r="95" spans="2:9">
      <c r="B95" s="231" t="s">
        <v>92</v>
      </c>
      <c r="C95" s="232">
        <v>0</v>
      </c>
      <c r="D95" s="232">
        <v>0</v>
      </c>
      <c r="E95" s="233">
        <f>E25</f>
        <v>-865286.25000000093</v>
      </c>
      <c r="F95" s="233">
        <f>F25</f>
        <v>-299829.16312500136</v>
      </c>
      <c r="G95" s="233">
        <f>G25</f>
        <v>404053.53252843488</v>
      </c>
      <c r="H95" s="233">
        <f>H25</f>
        <v>1273606.3005924309</v>
      </c>
      <c r="I95" s="234">
        <f>I25</f>
        <v>2341185.4551798599</v>
      </c>
    </row>
    <row r="96" spans="2:9">
      <c r="B96" s="235" t="s">
        <v>149</v>
      </c>
      <c r="C96" s="232">
        <v>0</v>
      </c>
      <c r="D96" s="232">
        <v>0</v>
      </c>
      <c r="E96" s="233">
        <v>0</v>
      </c>
      <c r="F96" s="233">
        <v>0</v>
      </c>
      <c r="G96" s="233">
        <v>0</v>
      </c>
      <c r="H96" s="233">
        <v>0</v>
      </c>
      <c r="I96" s="234">
        <v>0</v>
      </c>
    </row>
    <row r="97" spans="2:9">
      <c r="B97" s="235" t="s">
        <v>150</v>
      </c>
      <c r="C97" s="232">
        <v>0</v>
      </c>
      <c r="D97" s="232">
        <v>0</v>
      </c>
      <c r="E97" s="233">
        <f>-E67</f>
        <v>-750000</v>
      </c>
      <c r="F97" s="233">
        <f>-F67</f>
        <v>-656250</v>
      </c>
      <c r="G97" s="233">
        <f>-G67</f>
        <v>-562500</v>
      </c>
      <c r="H97" s="233">
        <f>-H67</f>
        <v>-468750</v>
      </c>
      <c r="I97" s="234">
        <f>-I67</f>
        <v>-375000</v>
      </c>
    </row>
    <row r="98" spans="2:9">
      <c r="B98" s="236" t="s">
        <v>151</v>
      </c>
      <c r="C98" s="232">
        <f t="shared" ref="C98:I98" si="28">SUM(C93:C97)</f>
        <v>0</v>
      </c>
      <c r="D98" s="232">
        <f t="shared" si="28"/>
        <v>0</v>
      </c>
      <c r="E98" s="241">
        <f t="shared" si="28"/>
        <v>2379463.7499999991</v>
      </c>
      <c r="F98" s="241">
        <f t="shared" si="28"/>
        <v>3363897.9931249977</v>
      </c>
      <c r="G98" s="232">
        <f t="shared" si="28"/>
        <v>4527604.0758253075</v>
      </c>
      <c r="H98" s="232">
        <f t="shared" si="28"/>
        <v>5781770.2745221062</v>
      </c>
      <c r="I98" s="237">
        <f t="shared" si="28"/>
        <v>8072161.4728389122</v>
      </c>
    </row>
    <row r="99" spans="2:9" ht="15.75" thickBot="1">
      <c r="B99" s="238" t="s">
        <v>152</v>
      </c>
      <c r="C99" s="239">
        <f t="shared" ref="C99:I99" si="29">0.025*C98</f>
        <v>0</v>
      </c>
      <c r="D99" s="239">
        <f t="shared" si="29"/>
        <v>0</v>
      </c>
      <c r="E99" s="239">
        <f t="shared" si="29"/>
        <v>59486.593749999978</v>
      </c>
      <c r="F99" s="239">
        <f t="shared" si="29"/>
        <v>84097.449828124954</v>
      </c>
      <c r="G99" s="239">
        <f t="shared" si="29"/>
        <v>113190.10189563269</v>
      </c>
      <c r="H99" s="239">
        <f t="shared" si="29"/>
        <v>144544.25686305267</v>
      </c>
      <c r="I99" s="240">
        <f t="shared" si="29"/>
        <v>201804.0368209728</v>
      </c>
    </row>
  </sheetData>
  <pageMargins left="0.7" right="0.7" top="0.75" bottom="0.75" header="0.3" footer="0.3"/>
  <pageSetup orientation="portrait" r:id="rId1"/>
  <headerFooter>
    <oddFooter>&amp;C&amp;"arial,Regular"&amp;11Saudi Aramco: Confidential</oddFooter>
    <evenFooter>&amp;C&amp;"arial,Regular"&amp;11Saudi Aramco: Confidential</evenFooter>
    <firstFooter>&amp;C&amp;"arial,Regular"&amp;11Saudi Aramco: 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</vt:lpstr>
      <vt:lpstr>Revenues</vt:lpstr>
      <vt:lpstr>Manpower</vt:lpstr>
      <vt:lpstr>Costs</vt:lpstr>
      <vt:lpstr>Capex &amp; Dep</vt:lpstr>
      <vt:lpstr>Working Capital</vt:lpstr>
      <vt:lpstr>Financial Statements</vt:lpstr>
      <vt:lpstr>day_in_year</vt:lpstr>
      <vt:lpstr>start_year</vt:lpstr>
    </vt:vector>
  </TitlesOfParts>
  <Company>Aramco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mftaah.com</cp:lastModifiedBy>
  <dcterms:created xsi:type="dcterms:W3CDTF">2012-05-29T08:00:41Z</dcterms:created>
  <dcterms:modified xsi:type="dcterms:W3CDTF">2023-10-25T04:53:13Z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61b4d17e-9a70-4ff3-b306-439594695158</vt:lpwstr>
  </property>
  <property fmtid="{D5CDD505-2E9C-101B-9397-08002B2CF9AE}" pid="3" name="ARMCOClassification">
    <vt:lpwstr>Confidential</vt:lpwstr>
  </property>
</Properties>
</file>