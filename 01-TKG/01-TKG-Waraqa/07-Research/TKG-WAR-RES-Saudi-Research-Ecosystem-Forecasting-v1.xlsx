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ocuments\ScienceOpen\Sales\Publishers\Saudia Arabia preprints\"/>
    </mc:Choice>
  </mc:AlternateContent>
  <xr:revisionPtr revIDLastSave="0" documentId="13_ncr:1_{5E6997C0-8CBF-4BFB-B040-3E92DC05836F}" xr6:coauthVersionLast="47" xr6:coauthVersionMax="47" xr10:uidLastSave="{00000000-0000-0000-0000-000000000000}"/>
  <bookViews>
    <workbookView xWindow="-110" yWindow="-110" windowWidth="19420" windowHeight="10300" xr2:uid="{26BC129D-BEF0-B447-865C-56226B90A656}"/>
  </bookViews>
  <sheets>
    <sheet name="Saudi Platform Cos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3" i="2"/>
  <c r="H12" i="2"/>
  <c r="H11" i="2"/>
  <c r="H10" i="2"/>
  <c r="H9" i="2"/>
  <c r="H8" i="2"/>
  <c r="H7" i="2"/>
  <c r="H3" i="2"/>
  <c r="D11" i="2"/>
  <c r="E11" i="2"/>
  <c r="F11" i="2"/>
  <c r="G11" i="2"/>
  <c r="C11" i="2"/>
  <c r="C10" i="2"/>
  <c r="G12" i="2"/>
  <c r="D10" i="2"/>
  <c r="E10" i="2"/>
  <c r="F10" i="2"/>
  <c r="G10" i="2"/>
  <c r="D12" i="2"/>
  <c r="E12" i="2"/>
  <c r="F12" i="2"/>
  <c r="C12" i="2"/>
</calcChain>
</file>

<file path=xl/sharedStrings.xml><?xml version="1.0" encoding="utf-8"?>
<sst xmlns="http://schemas.openxmlformats.org/spreadsheetml/2006/main" count="41" uniqueCount="32">
  <si>
    <t>Build cost</t>
  </si>
  <si>
    <t>Annual maintenance</t>
  </si>
  <si>
    <t>Outreach &amp; engagement</t>
  </si>
  <si>
    <t>Annual customisation budget</t>
  </si>
  <si>
    <t>5-Year Total</t>
  </si>
  <si>
    <t>GRAND TOTAL</t>
  </si>
  <si>
    <t>Pre-publication checks</t>
  </si>
  <si>
    <t>Oversight/Quality Assurance</t>
  </si>
  <si>
    <t>Post Publication Services/Indexing</t>
  </si>
  <si>
    <t>Customer Service</t>
  </si>
  <si>
    <t>Production/XML</t>
  </si>
  <si>
    <t>Platform Costs (US$)</t>
  </si>
  <si>
    <t>Year 1</t>
  </si>
  <si>
    <t>Year 2</t>
  </si>
  <si>
    <t>Year 3</t>
  </si>
  <si>
    <t>Year 4</t>
  </si>
  <si>
    <t>Year 5</t>
  </si>
  <si>
    <t>Year 6</t>
  </si>
  <si>
    <t>Site navigation adaptation for Arabic</t>
  </si>
  <si>
    <t>Publication Projection</t>
  </si>
  <si>
    <t>Pre-print articles</t>
  </si>
  <si>
    <t>Pre-publication checks / SciScore</t>
  </si>
  <si>
    <t>25 USD / hosted preprint - one time fee includes unlimited revisions</t>
  </si>
  <si>
    <t>We charge 1000 USD per man/day for customizations. Estimate 5 days of platform specific customizations. All improvements to the ScienceOpen platform for other customers can be used free of extra charge.</t>
  </si>
  <si>
    <t>20.000 USD set up fee for creation of subdomain structure</t>
  </si>
  <si>
    <t>For the addition of Arabic Instructions to the manuscript submission page, addition of bilingual e-mail templates</t>
  </si>
  <si>
    <t>Platform usage fee includes 6500 USD / year annual hosting and operating fee  + 5000 EUR / year Altmetric</t>
  </si>
  <si>
    <t>1000 USD/year for dedicated outreach and engagement support</t>
  </si>
  <si>
    <t>Human editorial check 5 USD per preprint</t>
  </si>
  <si>
    <t>AI powered scientific rigor check by SciScore 3 USD / preprint</t>
  </si>
  <si>
    <t>Service Level Agreement: Monthly 500 USD starting year 2 / English language support service2. level</t>
  </si>
  <si>
    <t>Is this a requirement for a preprint server? Most preprint servers work just with pdf. XML metadata is gathered  and edited during the submission process. Standard costs for copyediting/typesetting:10-15 USD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</si>
</sst>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0" fillId="0" borderId="4" xfId="0" applyBorder="1"/>
    <xf numFmtId="165" fontId="0" fillId="0" borderId="0" xfId="1" applyNumberFormat="1" applyFont="1" applyFill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1" applyNumberFormat="1" applyFont="1" applyBorder="1"/>
    <xf numFmtId="165" fontId="0" fillId="0" borderId="5" xfId="1" applyNumberFormat="1" applyFont="1" applyBorder="1"/>
    <xf numFmtId="0" fontId="3" fillId="0" borderId="6" xfId="0" applyFont="1" applyBorder="1"/>
    <xf numFmtId="165" fontId="3" fillId="0" borderId="7" xfId="1" applyNumberFormat="1" applyFont="1" applyBorder="1"/>
    <xf numFmtId="165" fontId="3" fillId="0" borderId="8" xfId="1" applyNumberFormat="1" applyFont="1" applyBorder="1"/>
    <xf numFmtId="165" fontId="0" fillId="0" borderId="0" xfId="1" applyNumberFormat="1" applyFont="1" applyFill="1" applyBorder="1"/>
    <xf numFmtId="0" fontId="5" fillId="0" borderId="0" xfId="0" applyFont="1"/>
    <xf numFmtId="0" fontId="4" fillId="0" borderId="4" xfId="0" applyFont="1" applyBorder="1"/>
    <xf numFmtId="0" fontId="3" fillId="3" borderId="9" xfId="0" applyFont="1" applyFill="1" applyBorder="1"/>
    <xf numFmtId="0" fontId="0" fillId="3" borderId="10" xfId="0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6" fillId="3" borderId="10" xfId="0" applyFont="1" applyFill="1" applyBorder="1"/>
    <xf numFmtId="0" fontId="6" fillId="3" borderId="1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04C4-76F0-C743-ACBD-04597E70FC4B}">
  <dimension ref="A1:H26"/>
  <sheetViews>
    <sheetView tabSelected="1" zoomScaleNormal="100" workbookViewId="0">
      <selection activeCell="H16" sqref="H16"/>
    </sheetView>
  </sheetViews>
  <sheetFormatPr defaultColWidth="10.6640625" defaultRowHeight="15.5" x14ac:dyDescent="0.35"/>
  <cols>
    <col min="1" max="1" width="30.83203125" customWidth="1"/>
    <col min="2" max="4" width="12.5" bestFit="1" customWidth="1"/>
    <col min="5" max="7" width="14" bestFit="1" customWidth="1"/>
    <col min="8" max="8" width="14" customWidth="1"/>
  </cols>
  <sheetData>
    <row r="1" spans="1:8" x14ac:dyDescent="0.35">
      <c r="A1" s="2"/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4" t="s">
        <v>4</v>
      </c>
    </row>
    <row r="2" spans="1:8" x14ac:dyDescent="0.35">
      <c r="A2" s="16" t="s">
        <v>19</v>
      </c>
      <c r="B2" s="17"/>
      <c r="C2" s="17"/>
      <c r="D2" s="17"/>
      <c r="E2" s="17"/>
      <c r="F2" s="17"/>
      <c r="G2" s="17"/>
      <c r="H2" s="18"/>
    </row>
    <row r="3" spans="1:8" x14ac:dyDescent="0.35">
      <c r="A3" s="5" t="s">
        <v>20</v>
      </c>
      <c r="B3" s="6">
        <v>0</v>
      </c>
      <c r="C3" s="6">
        <v>539</v>
      </c>
      <c r="D3" s="6">
        <v>1262</v>
      </c>
      <c r="E3" s="6">
        <v>2215</v>
      </c>
      <c r="F3" s="6">
        <v>3457</v>
      </c>
      <c r="G3" s="6">
        <v>5059</v>
      </c>
      <c r="H3" s="7">
        <f>SUM(B3:G3)</f>
        <v>12532</v>
      </c>
    </row>
    <row r="4" spans="1:8" x14ac:dyDescent="0.35">
      <c r="A4" s="16" t="s">
        <v>11</v>
      </c>
      <c r="B4" s="19"/>
      <c r="C4" s="19"/>
      <c r="D4" s="19"/>
      <c r="E4" s="19"/>
      <c r="F4" s="19"/>
      <c r="G4" s="19"/>
      <c r="H4" s="20"/>
    </row>
    <row r="5" spans="1:8" x14ac:dyDescent="0.35">
      <c r="A5" s="5" t="s">
        <v>0</v>
      </c>
      <c r="B5" s="8">
        <v>20000</v>
      </c>
      <c r="C5" s="8"/>
      <c r="D5" s="8"/>
      <c r="E5" s="8"/>
      <c r="F5" s="8"/>
      <c r="G5" s="8"/>
      <c r="H5" s="9"/>
    </row>
    <row r="6" spans="1:8" x14ac:dyDescent="0.35">
      <c r="A6" s="5" t="s">
        <v>18</v>
      </c>
      <c r="B6" s="8">
        <v>7000</v>
      </c>
      <c r="C6" s="8"/>
      <c r="D6" s="8"/>
      <c r="E6" s="8"/>
      <c r="F6" s="8"/>
      <c r="G6" s="8"/>
      <c r="H6" s="9"/>
    </row>
    <row r="7" spans="1:8" x14ac:dyDescent="0.35">
      <c r="A7" s="5" t="s">
        <v>1</v>
      </c>
      <c r="B7" s="8">
        <v>11500</v>
      </c>
      <c r="C7" s="8">
        <v>11500</v>
      </c>
      <c r="D7" s="8">
        <v>11500</v>
      </c>
      <c r="E7" s="8">
        <v>11500</v>
      </c>
      <c r="F7" s="8">
        <v>11500</v>
      </c>
      <c r="G7" s="8">
        <v>11500</v>
      </c>
      <c r="H7" s="7">
        <f>SUM(B7:G7)</f>
        <v>69000</v>
      </c>
    </row>
    <row r="8" spans="1:8" s="14" customFormat="1" x14ac:dyDescent="0.35">
      <c r="A8" s="5" t="s">
        <v>3</v>
      </c>
      <c r="C8" s="8">
        <v>5000</v>
      </c>
      <c r="D8" s="8">
        <v>5000</v>
      </c>
      <c r="E8" s="8">
        <v>5000</v>
      </c>
      <c r="F8" s="8">
        <v>5000</v>
      </c>
      <c r="G8" s="8">
        <v>5000</v>
      </c>
      <c r="H8" s="7">
        <f>SUM(B8:G8)</f>
        <v>25000</v>
      </c>
    </row>
    <row r="9" spans="1:8" x14ac:dyDescent="0.35">
      <c r="A9" s="5" t="s">
        <v>2</v>
      </c>
      <c r="B9" s="8">
        <v>1000</v>
      </c>
      <c r="C9" s="8">
        <v>1000</v>
      </c>
      <c r="D9" s="8">
        <v>1000</v>
      </c>
      <c r="E9" s="8">
        <v>1000</v>
      </c>
      <c r="F9" s="8">
        <v>1000</v>
      </c>
      <c r="G9" s="8">
        <v>1000</v>
      </c>
      <c r="H9" s="7">
        <f>SUM(B9:G9)</f>
        <v>6000</v>
      </c>
    </row>
    <row r="10" spans="1:8" x14ac:dyDescent="0.35">
      <c r="A10" s="15" t="s">
        <v>21</v>
      </c>
      <c r="B10" s="13"/>
      <c r="C10" s="1">
        <f>3*C3</f>
        <v>1617</v>
      </c>
      <c r="D10" s="1">
        <f t="shared" ref="D10:G10" si="0">2.5*D3</f>
        <v>3155</v>
      </c>
      <c r="E10" s="1">
        <f t="shared" si="0"/>
        <v>5537.5</v>
      </c>
      <c r="F10" s="1">
        <f t="shared" si="0"/>
        <v>8642.5</v>
      </c>
      <c r="G10" s="1">
        <f t="shared" si="0"/>
        <v>12647.5</v>
      </c>
      <c r="H10" s="7">
        <f>SUM(B10:G10)</f>
        <v>31599.5</v>
      </c>
    </row>
    <row r="11" spans="1:8" x14ac:dyDescent="0.35">
      <c r="A11" s="15" t="s">
        <v>7</v>
      </c>
      <c r="B11" s="13"/>
      <c r="C11" s="1">
        <f>5*C3</f>
        <v>2695</v>
      </c>
      <c r="D11" s="1">
        <f t="shared" ref="D11:G11" si="1">5*D3</f>
        <v>6310</v>
      </c>
      <c r="E11" s="1">
        <f t="shared" si="1"/>
        <v>11075</v>
      </c>
      <c r="F11" s="1">
        <f t="shared" si="1"/>
        <v>17285</v>
      </c>
      <c r="G11" s="1">
        <f t="shared" si="1"/>
        <v>25295</v>
      </c>
      <c r="H11" s="7">
        <f>SUM(B11:G11)</f>
        <v>62660</v>
      </c>
    </row>
    <row r="12" spans="1:8" x14ac:dyDescent="0.35">
      <c r="A12" s="15" t="s">
        <v>8</v>
      </c>
      <c r="B12" s="13"/>
      <c r="C12" s="1">
        <f>C3*25</f>
        <v>13475</v>
      </c>
      <c r="D12" s="1">
        <f t="shared" ref="D12:G12" si="2">D3*25</f>
        <v>31550</v>
      </c>
      <c r="E12" s="1">
        <f t="shared" si="2"/>
        <v>55375</v>
      </c>
      <c r="F12" s="1">
        <f t="shared" si="2"/>
        <v>86425</v>
      </c>
      <c r="G12" s="1">
        <f t="shared" si="2"/>
        <v>126475</v>
      </c>
      <c r="H12" s="7">
        <f>SUM(B12:G12)</f>
        <v>313300</v>
      </c>
    </row>
    <row r="13" spans="1:8" x14ac:dyDescent="0.35">
      <c r="A13" s="15" t="s">
        <v>9</v>
      </c>
      <c r="B13" s="13"/>
      <c r="C13" s="13">
        <v>4800</v>
      </c>
      <c r="D13" s="13">
        <v>4800</v>
      </c>
      <c r="E13" s="13">
        <v>4800</v>
      </c>
      <c r="F13" s="13">
        <v>4800</v>
      </c>
      <c r="G13" s="13">
        <v>4800</v>
      </c>
      <c r="H13" s="7">
        <f>SUM(B13:G13)</f>
        <v>24000</v>
      </c>
    </row>
    <row r="14" spans="1:8" x14ac:dyDescent="0.35">
      <c r="A14" s="15" t="s">
        <v>10</v>
      </c>
      <c r="B14" s="13"/>
      <c r="C14" s="1"/>
      <c r="D14" s="1"/>
      <c r="E14" s="1"/>
      <c r="F14" s="1"/>
      <c r="G14" s="1"/>
      <c r="H14" s="9"/>
    </row>
    <row r="15" spans="1:8" x14ac:dyDescent="0.35">
      <c r="A15" s="10" t="s">
        <v>5</v>
      </c>
      <c r="B15" s="11"/>
      <c r="C15" s="11"/>
      <c r="D15" s="11"/>
      <c r="E15" s="11"/>
      <c r="F15" s="11"/>
      <c r="G15" s="11"/>
      <c r="H15" s="12">
        <f>SUM(H7:H13)</f>
        <v>531559.5</v>
      </c>
    </row>
    <row r="17" spans="1:2" x14ac:dyDescent="0.35">
      <c r="A17" s="5" t="s">
        <v>0</v>
      </c>
      <c r="B17" t="s">
        <v>24</v>
      </c>
    </row>
    <row r="18" spans="1:2" x14ac:dyDescent="0.35">
      <c r="A18" s="5" t="s">
        <v>18</v>
      </c>
      <c r="B18" t="s">
        <v>25</v>
      </c>
    </row>
    <row r="19" spans="1:2" x14ac:dyDescent="0.35">
      <c r="A19" s="5" t="s">
        <v>1</v>
      </c>
      <c r="B19" t="s">
        <v>26</v>
      </c>
    </row>
    <row r="20" spans="1:2" x14ac:dyDescent="0.35">
      <c r="A20" s="5" t="s">
        <v>3</v>
      </c>
      <c r="B20" t="s">
        <v>23</v>
      </c>
    </row>
    <row r="21" spans="1:2" x14ac:dyDescent="0.35">
      <c r="A21" s="5" t="s">
        <v>2</v>
      </c>
      <c r="B21" t="s">
        <v>27</v>
      </c>
    </row>
    <row r="22" spans="1:2" x14ac:dyDescent="0.35">
      <c r="A22" s="15" t="s">
        <v>6</v>
      </c>
      <c r="B22" t="s">
        <v>29</v>
      </c>
    </row>
    <row r="23" spans="1:2" x14ac:dyDescent="0.35">
      <c r="A23" s="15" t="s">
        <v>7</v>
      </c>
      <c r="B23" t="s">
        <v>28</v>
      </c>
    </row>
    <row r="24" spans="1:2" x14ac:dyDescent="0.35">
      <c r="A24" s="15" t="s">
        <v>8</v>
      </c>
      <c r="B24" t="s">
        <v>22</v>
      </c>
    </row>
    <row r="25" spans="1:2" x14ac:dyDescent="0.35">
      <c r="A25" s="15" t="s">
        <v>9</v>
      </c>
      <c r="B25" t="s">
        <v>30</v>
      </c>
    </row>
    <row r="26" spans="1:2" x14ac:dyDescent="0.35">
      <c r="A26" s="15" t="s">
        <v>10</v>
      </c>
      <c r="B2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Platform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Delahunty</dc:creator>
  <cp:lastModifiedBy>Stephanie Dawson</cp:lastModifiedBy>
  <dcterms:created xsi:type="dcterms:W3CDTF">2024-01-05T14:04:16Z</dcterms:created>
  <dcterms:modified xsi:type="dcterms:W3CDTF">2024-04-18T11:53:12Z</dcterms:modified>
</cp:coreProperties>
</file>