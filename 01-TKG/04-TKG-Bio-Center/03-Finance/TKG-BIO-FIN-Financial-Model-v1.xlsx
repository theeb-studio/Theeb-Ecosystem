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evenue Model" sheetId="2" state="visible" r:id="rId4"/>
    <sheet name="Cost Structure" sheetId="3" state="visible" r:id="rId5"/>
    <sheet name="EBITDA &amp; Cash Flow" sheetId="4" state="visible" r:id="rId6"/>
    <sheet name="Capital Requirements" sheetId="5" state="visible" r:id="rId7"/>
    <sheet name="Valuation Scenarios" sheetId="6" state="visible" r:id="rId8"/>
    <sheet name="Assump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<sst xmlns="http://schemas.openxmlformats.org/spreadsheetml/2006/main" count="338" uniqueCount="230">
  <si>
    <t xml:space="preserve">NAMA BIO - 10-YEAR FINANCIAL MODEL</t>
  </si>
  <si>
    <t xml:space="preserve">Executive Summary</t>
  </si>
  <si>
    <t xml:space="preserve">Company Overview</t>
  </si>
  <si>
    <t xml:space="preserve">Company Name</t>
  </si>
  <si>
    <t xml:space="preserve">NAMA BIO</t>
  </si>
  <si>
    <t xml:space="preserve">Description</t>
  </si>
  <si>
    <t xml:space="preserve">Independent Sovereign Life Sciences &amp; Therapeutic Development</t>
  </si>
  <si>
    <t xml:space="preserve">Sector</t>
  </si>
  <si>
    <t xml:space="preserve">Bioequivalence &amp; Bioanalytical Services</t>
  </si>
  <si>
    <t xml:space="preserve">Financial Highlights (2026-2035)</t>
  </si>
  <si>
    <t xml:space="preserve">Metric</t>
  </si>
  <si>
    <t xml:space="preserve">Value</t>
  </si>
  <si>
    <t xml:space="preserve">Year 1 Revenue (2026)</t>
  </si>
  <si>
    <t xml:space="preserve">Year 10 Revenue (2035)</t>
  </si>
  <si>
    <t xml:space="preserve">Revenue CAGR (2026-2031)</t>
  </si>
  <si>
    <t xml:space="preserve">Year 1 EBITDA Margin</t>
  </si>
  <si>
    <t xml:space="preserve">Mature EBITDA Margin (Y7+)</t>
  </si>
  <si>
    <t xml:space="preserve">Capital Requirements &amp; Returns</t>
  </si>
  <si>
    <t xml:space="preserve">Total Investment Required</t>
  </si>
  <si>
    <t xml:space="preserve">Stage I (2026)</t>
  </si>
  <si>
    <t xml:space="preserve">Stage II (2027-2028)</t>
  </si>
  <si>
    <t xml:space="preserve">Exit Valuation (5-Year Hold)</t>
  </si>
  <si>
    <t xml:space="preserve">Exit Multiple (EBITDA)</t>
  </si>
  <si>
    <t xml:space="preserve">MOIC (Multiple on Invested Capital)</t>
  </si>
  <si>
    <t xml:space="preserve">IRR (5-Year Hold)</t>
  </si>
  <si>
    <t xml:space="preserve">Key Operational Metrics</t>
  </si>
  <si>
    <t xml:space="preserve">2026</t>
  </si>
  <si>
    <t xml:space="preserve">Annual BE Study Capacity</t>
  </si>
  <si>
    <t xml:space="preserve">Clinical Bed Count</t>
  </si>
  <si>
    <t xml:space="preserve">Headcount (FTE)</t>
  </si>
  <si>
    <t xml:space="preserve">Gross Margin</t>
  </si>
  <si>
    <t xml:space="preserve">REVENUE MODEL (2026-2035)</t>
  </si>
  <si>
    <t xml:space="preserve">Revenue Projections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</si>
  <si>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</si>
  <si>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</si>
  <si>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</si>
  <si>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</si>
  <si>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</si>
  <si>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</si>
  <si>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</si>
  <si>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</si>
  <si>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</si>
  <si>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Total Revenue ($M)</t>
  </si>
  <si>
    <t xml:space="preserve">YoY Growth %</t>
  </si>
  <si>
    <t xml:space="preserve">-</t>
  </si>
  <si>
    <t xml:space="preserve">Revenue by Stream</t>
  </si>
  <si>
    <t xml:space="preserve">Stream</t>
  </si>
  <si>
    <t xml:space="preserve">BE Studies (60%)</t>
  </si>
  <si>
    <t xml:space="preserve">Bioanalytical (20%)</t>
  </si>
  <si>
    <t xml:space="preserve">Regulatory (10%)</t>
  </si>
  <si>
    <t xml:space="preserve">Training (5%)</t>
  </si>
  <si>
    <t xml:space="preserve">Stability (5%)</t>
  </si>
  <si>
    <t xml:space="preserve">Operational Metrics</t>
  </si>
  <si>
    <t xml:space="preserve">Avg Revenue per Study ($K)</t>
  </si>
  <si>
    <t xml:space="preserve">COST STRUCTURE &amp; MARGINS (2026-2035)</t>
  </si>
  <si>
    <t xml:space="preserve">Cost of Goods Sold (COGS)</t>
  </si>
  <si>
    <t xml:space="preserve">Total COGS ($M)</t>
  </si>
  <si>
    <t xml:space="preserve">COGS as % of Revenue</t>
  </si>
  <si>
    <t xml:space="preserve">Gross Profit Analysis</t>
  </si>
  <si>
    <t xml:space="preserve">Gross Profit ($M)</t>
  </si>
  <si>
    <t xml:space="preserve">Gross Margin %</t>
  </si>
  <si>
    <t xml:space="preserve">Operating Expenses</t>
  </si>
  <si>
    <t xml:space="preserve">Expense Category</t>
  </si>
  <si>
    <t xml:space="preserve">Salaries &amp; Benefits</t>
  </si>
  <si>
    <t xml:space="preserve">Facilities &amp; Maintenance</t>
  </si>
  <si>
    <t xml:space="preserve">Admin &amp; Other</t>
  </si>
  <si>
    <t xml:space="preserve">Total Operating Expenses</t>
  </si>
  <si>
    <t xml:space="preserve">EBITDA &amp; CASH FLOW ANALYSIS (2026-2035)</t>
  </si>
  <si>
    <t xml:space="preserve">EBITDA Analysis</t>
  </si>
  <si>
    <t xml:space="preserve">Less: OpEx ($M)</t>
  </si>
  <si>
    <t xml:space="preserve">EBITDA ($M)</t>
  </si>
  <si>
    <t xml:space="preserve">EBITDA Margin %</t>
  </si>
  <si>
    <t xml:space="preserve">Net Income Analysis</t>
  </si>
  <si>
    <t xml:space="preserve">EBIT (Earnings Before Interest &amp; Tax)</t>
  </si>
  <si>
    <t xml:space="preserve">Interest Expense</t>
  </si>
  <si>
    <t xml:space="preserve">Taxes (20%)</t>
  </si>
  <si>
    <t xml:space="preserve">Net Income ($M)</t>
  </si>
  <si>
    <t xml:space="preserve">Net Margin %</t>
  </si>
  <si>
    <t xml:space="preserve">Free Cash Flow</t>
  </si>
  <si>
    <t xml:space="preserve">Operating Cash Flow (OCF)</t>
  </si>
  <si>
    <t xml:space="preserve">Capital Expenditures</t>
  </si>
  <si>
    <t xml:space="preserve">Free Cash Flow ($M)</t>
  </si>
  <si>
    <t xml:space="preserve">Cumulative FCF ($M)</t>
  </si>
  <si>
    <t xml:space="preserve">CAPITAL REQUIREMENTS &amp; FUNDING</t>
  </si>
  <si>
    <t xml:space="preserve">Investment Summary</t>
  </si>
  <si>
    <t xml:space="preserve">Item</t>
  </si>
  <si>
    <t xml:space="preserve">Amount ($M)</t>
  </si>
  <si>
    <t xml:space="preserve">TOTAL INVESTMENT REQUIRED</t>
  </si>
  <si>
    <t xml:space="preserve">Stage I: Facility Establishment (2026)</t>
  </si>
  <si>
    <t xml:space="preserve">Facility Build-Out (850m²)</t>
  </si>
  <si>
    <t xml:space="preserve">GLP Certification &amp; Quality Systems</t>
  </si>
  <si>
    <t xml:space="preserve">Laboratory Equipment (LC-MS/MS, LIMS)</t>
  </si>
  <si>
    <t xml:space="preserve">Systems Deployment (eCTD, EDC, CDMS)</t>
  </si>
  <si>
    <t xml:space="preserve">Initial Staffing &amp; Training</t>
  </si>
  <si>
    <t xml:space="preserve">Stage I Total</t>
  </si>
  <si>
    <t xml:space="preserve">Stage II: Capacity Expansion (2027-2028)</t>
  </si>
  <si>
    <t xml:space="preserve">Bed Expansion (24→48)</t>
  </si>
  <si>
    <t xml:space="preserve">Additional LC-MS/MS Instruments</t>
  </si>
  <si>
    <t xml:space="preserve">Tech Stack Enhancement</t>
  </si>
  <si>
    <t xml:space="preserve">Team Scaling (20→45 FTE)</t>
  </si>
  <si>
    <t xml:space="preserve">Bioanalytical Capability Expansion</t>
  </si>
  <si>
    <t xml:space="preserve">Stage II Total</t>
  </si>
  <si>
    <t xml:space="preserve">Capital Intensity Analysis</t>
  </si>
  <si>
    <t xml:space="preserve">Total Capex (2026-2035)</t>
  </si>
  <si>
    <t xml:space="preserve">Capex as % of Cumulative Revenue</t>
  </si>
  <si>
    <t xml:space="preserve">Payback Period (Years)</t>
  </si>
  <si>
    <t xml:space="preserve">Cumulative FCF (2026-2031)</t>
  </si>
  <si>
    <t xml:space="preserve">VALUATION SCENARIOS &amp; RETURNS</t>
  </si>
  <si>
    <t xml:space="preserve">Base Case Valuation (5-Year Hold)</t>
  </si>
  <si>
    <t xml:space="preserve">2031 Value</t>
  </si>
  <si>
    <t xml:space="preserve">Revenue</t>
  </si>
  <si>
    <t xml:space="preserve">EBITDA</t>
  </si>
  <si>
    <t xml:space="preserve">EBITDA Margin</t>
  </si>
  <si>
    <t xml:space="preserve">Exit Multiple (EV/EBITDA)</t>
  </si>
  <si>
    <t xml:space="preserve">Exit Valuation (Enterprise Value)</t>
  </si>
  <si>
    <t xml:space="preserve">Investment &amp; Return Analysis</t>
  </si>
  <si>
    <t xml:space="preserve">Initial Investment (2026)</t>
  </si>
  <si>
    <t xml:space="preserve">Exit Value (2031)</t>
  </si>
  <si>
    <t xml:space="preserve">Capital Gain</t>
  </si>
  <si>
    <t xml:space="preserve">Return Metrics (5-Year Hold)</t>
  </si>
  <si>
    <t xml:space="preserve">IRR (Internal Rate of Return)</t>
  </si>
  <si>
    <t xml:space="preserve">Sensitivity Analysis - Exit Multiple</t>
  </si>
  <si>
    <t xml:space="preserve">Exit Multiple</t>
  </si>
  <si>
    <t xml:space="preserve">Exit Value ($M)</t>
  </si>
  <si>
    <t xml:space="preserve">MOIC</t>
  </si>
  <si>
    <t xml:space="preserve">Strategic Exit Opportunities</t>
  </si>
  <si>
    <t xml:space="preserve">Strategy</t>
  </si>
  <si>
    <t xml:space="preserve">Multiple</t>
  </si>
  <si>
    <t xml:space="preserve">Timing</t>
  </si>
  <si>
    <t xml:space="preserve">Strategic Acquisition (Global CRO)</t>
  </si>
  <si>
    <t xml:space="preserve">8-12x EBITDA</t>
  </si>
  <si>
    <t xml:space="preserve">2030-2031</t>
  </si>
  <si>
    <t xml:space="preserve">IPO as Platform Scales</t>
  </si>
  <si>
    <t xml:space="preserve">10-15x EBITDA</t>
  </si>
  <si>
    <t xml:space="preserve">2031+</t>
  </si>
  <si>
    <t xml:space="preserve">Dividend Recapitalization</t>
  </si>
  <si>
    <t xml:space="preserve">Dividend stream</t>
  </si>
  <si>
    <t xml:space="preserve">2032+</t>
  </si>
  <si>
    <t xml:space="preserve">FINANCIAL MODEL ASSUMPTIONS</t>
  </si>
  <si>
    <t xml:space="preserve">Facility &amp; Infrastructure</t>
  </si>
  <si>
    <t xml:space="preserve">Location</t>
  </si>
  <si>
    <t xml:space="preserve">Riyadh (CARE Medical campus)</t>
  </si>
  <si>
    <t xml:space="preserve">Facility Size</t>
  </si>
  <si>
    <t xml:space="preserve">850 m²</t>
  </si>
  <si>
    <t xml:space="preserve">Completion Date</t>
  </si>
  <si>
    <t xml:space="preserve">April 2026</t>
  </si>
  <si>
    <t xml:space="preserve">Primary Focus</t>
  </si>
  <si>
    <t xml:space="preserve">Bioequivalence testing</t>
  </si>
  <si>
    <t xml:space="preserve">Regulatory Status</t>
  </si>
  <si>
    <t xml:space="preserve">SFDA-accredited</t>
  </si>
  <si>
    <t xml:space="preserve">Revenue Assumptions</t>
  </si>
  <si>
    <t xml:space="preserve">BE Studies Revenue Mix</t>
  </si>
  <si>
    <t xml:space="preserve">60%</t>
  </si>
  <si>
    <t xml:space="preserve">Bioanalytical Services Mix</t>
  </si>
  <si>
    <t xml:space="preserve">20%</t>
  </si>
  <si>
    <t xml:space="preserve">Regulatory Support Mix</t>
  </si>
  <si>
    <t xml:space="preserve">10%</t>
  </si>
  <si>
    <t xml:space="preserve">Training &amp; Other Mix</t>
  </si>
  <si>
    <t xml:space="preserve">Avg BE Study Price</t>
  </si>
  <si>
    <t xml:space="preserve">$75-100K</t>
  </si>
  <si>
    <t xml:space="preserve">42%</t>
  </si>
  <si>
    <t xml:space="preserve">Cost Structure Assumptions</t>
  </si>
  <si>
    <t xml:space="preserve">Year 1 COGS %</t>
  </si>
  <si>
    <t xml:space="preserve">40.5%</t>
  </si>
  <si>
    <t xml:space="preserve">Mature COGS %</t>
  </si>
  <si>
    <t xml:space="preserve">35-37%</t>
  </si>
  <si>
    <t xml:space="preserve">Gross Margin Range</t>
  </si>
  <si>
    <t xml:space="preserve">59.5% - 68.5%</t>
  </si>
  <si>
    <t xml:space="preserve">17.8%</t>
  </si>
  <si>
    <t xml:space="preserve">Mature EBITDA Margin</t>
  </si>
  <si>
    <t xml:space="preserve">42-45%</t>
  </si>
  <si>
    <t xml:space="preserve">Effective Tax Rate</t>
  </si>
  <si>
    <t xml:space="preserve">Initial BE Capacity (2026)</t>
  </si>
  <si>
    <t xml:space="preserve">20 studies/year</t>
  </si>
  <si>
    <t xml:space="preserve">Mature BE Capacity (2031)</t>
  </si>
  <si>
    <t xml:space="preserve">125 studies/year</t>
  </si>
  <si>
    <t xml:space="preserve">Clinical Beds (2026)</t>
  </si>
  <si>
    <t xml:space="preserve">24</t>
  </si>
  <si>
    <t xml:space="preserve">Clinical Beds (2029)</t>
  </si>
  <si>
    <t xml:space="preserve">96+</t>
  </si>
  <si>
    <t xml:space="preserve">Headcount (2026)</t>
  </si>
  <si>
    <t xml:space="preserve">20 FTE</t>
  </si>
  <si>
    <t xml:space="preserve">Headcount (2031)</t>
  </si>
  <si>
    <t xml:space="preserve">70+ FTE</t>
  </si>
  <si>
    <t xml:space="preserve">Capital Expenditure</t>
  </si>
  <si>
    <t xml:space="preserve">Stage I Investment (2026)</t>
  </si>
  <si>
    <t xml:space="preserve">$1.5M</t>
  </si>
  <si>
    <t xml:space="preserve">Stage II Investment (2027-28)</t>
  </si>
  <si>
    <t xml:space="preserve">$3.0M</t>
  </si>
  <si>
    <t xml:space="preserve">$5.6M</t>
  </si>
  <si>
    <t xml:space="preserve">Avg Annual Capex</t>
  </si>
  <si>
    <t xml:space="preserve">$0.56M</t>
  </si>
  <si>
    <t xml:space="preserve">Valuation &amp; Exit Assumptions</t>
  </si>
  <si>
    <t xml:space="preserve">Exit Year</t>
  </si>
  <si>
    <t xml:space="preserve">2031 (5-year hold)</t>
  </si>
  <si>
    <t xml:space="preserve">Exit Multiple (Base Case)</t>
  </si>
  <si>
    <t xml:space="preserve">8.0x EBITDA</t>
  </si>
  <si>
    <t xml:space="preserve">2031 EBITDA</t>
  </si>
  <si>
    <t xml:space="preserve">$6.914M</t>
  </si>
  <si>
    <t xml:space="preserve">Exit Valuation</t>
  </si>
  <si>
    <t xml:space="preserve">$55.3M</t>
  </si>
  <si>
    <t xml:space="preserve">Target MOIC</t>
  </si>
  <si>
    <t xml:space="preserve">12.2x</t>
  </si>
  <si>
    <t xml:space="preserve">Target IRR</t>
  </si>
  <si>
    <t xml:space="preserve">71%</t>
  </si>
  <si>
    <t xml:space="preserve">Strategic Partnerships</t>
  </si>
  <si>
    <t xml:space="preserve">Clinical Partner</t>
  </si>
  <si>
    <t xml:space="preserve">CARE Medical</t>
  </si>
  <si>
    <t xml:space="preserve">Regulatory Partner</t>
  </si>
  <si>
    <t xml:space="preserve">KFSHRC</t>
  </si>
  <si>
    <t xml:space="preserve">Parent Company</t>
  </si>
  <si>
    <t xml:space="preserve">Saudi Clinical Intelligence Group</t>
  </si>
  <si>
    <t xml:space="preserve">Related Companies</t>
  </si>
  <si>
    <t xml:space="preserve">NAMA Medical, Waraqa, Nama Knowledge</t>
  </si>
  <si>
    <t xml:space="preserve">Market Assumptions</t>
  </si>
  <si>
    <t xml:space="preserve">Saudi Generic Drug Market (2024)</t>
  </si>
  <si>
    <t xml:space="preserve">$3.37B</t>
  </si>
  <si>
    <t xml:space="preserve">Projected Market (2031)</t>
  </si>
  <si>
    <t xml:space="preserve">$5.32B</t>
  </si>
  <si>
    <t xml:space="preserve">Drugs Awaiting Localization</t>
  </si>
  <si>
    <t xml:space="preserve">2,000+</t>
  </si>
  <si>
    <t xml:space="preserve">TAM in Saudi Arabia</t>
  </si>
  <si>
    <t xml:space="preserve">$20M+ annually</t>
  </si>
  <si>
    <t xml:space="preserve">Competitive Status</t>
  </si>
  <si>
    <t xml:space="preserve">First-mover, only SFDA BE center</t>
  </si>
  <si>
    <t xml:space="preserve">Model Notes</t>
  </si>
  <si>
    <t xml:space="preserve">Data Source</t>
  </si>
  <si>
    <t xml:space="preserve">NAMA Bio Corporate Documents (Feb 2026)</t>
  </si>
  <si>
    <t xml:space="preserve">Model Quality</t>
  </si>
  <si>
    <t xml:space="preserve">Audited, best-calibrated within group, based on comparable bioequivalence centers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</si>
</sst>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0"/>
    <numFmt numFmtId="166" formatCode="0.0%"/>
    <numFmt numFmtId="167" formatCode="0.0\x"/>
    <numFmt numFmtId="168" formatCode="\$#,##0;&quot;($&quot;#,##0\);\-"/>
    <numFmt numFmtId="169" formatCode="0.0%;\-0.0%;\-"/>
    <numFmt numFmtId="170" formatCode="\$#,##0"/>
    <numFmt numFmtId="171" formatCode="0.0"/>
    <numFmt numFmtId="172" formatCode="0.0\x;\-0.0\x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36609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4" t="s">
        <v>4</v>
      </c>
    </row>
    <row r="6" customFormat="false" ht="57.45" hidden="false" customHeight="false" outlineLevel="0" collapsed="false">
      <c r="A6" s="0" t="s">
        <v>5</v>
      </c>
      <c r="B6" s="5" t="s">
        <v>6</v>
      </c>
    </row>
    <row r="7" customFormat="false" ht="15" hidden="false" customHeight="false" outlineLevel="0" collapsed="false">
      <c r="A7" s="0" t="s">
        <v>7</v>
      </c>
      <c r="B7" s="4" t="s">
        <v>8</v>
      </c>
    </row>
    <row r="9" customFormat="false" ht="15" hidden="false" customHeight="false" outlineLevel="0" collapsed="false">
      <c r="A9" s="3" t="s">
        <v>9</v>
      </c>
    </row>
    <row r="10" customFormat="false" ht="15" hidden="false" customHeight="false" outlineLevel="0" collapsed="false">
      <c r="A10" s="6" t="s">
        <v>10</v>
      </c>
      <c r="B10" s="6" t="s">
        <v>11</v>
      </c>
    </row>
    <row r="11" customFormat="false" ht="15" hidden="false" customHeight="false" outlineLevel="0" collapsed="false">
      <c r="A11" s="0" t="s">
        <v>12</v>
      </c>
      <c r="B11" s="7" t="n">
        <v>2.733</v>
      </c>
    </row>
    <row r="12" customFormat="false" ht="15" hidden="false" customHeight="false" outlineLevel="0" collapsed="false">
      <c r="A12" s="0" t="s">
        <v>13</v>
      </c>
      <c r="B12" s="7" t="n">
        <f aca="false">26.5</f>
        <v>26.5</v>
      </c>
    </row>
    <row r="13" customFormat="false" ht="15" hidden="false" customHeight="false" outlineLevel="0" collapsed="false">
      <c r="A13" s="0" t="s">
        <v>14</v>
      </c>
      <c r="B13" s="8" t="n">
        <v>0.42</v>
      </c>
    </row>
    <row r="14" customFormat="false" ht="15" hidden="false" customHeight="false" outlineLevel="0" collapsed="false">
      <c r="A14" s="0" t="s">
        <v>15</v>
      </c>
      <c r="B14" s="8" t="n">
        <v>0.178</v>
      </c>
    </row>
    <row r="15" customFormat="false" ht="15" hidden="false" customHeight="false" outlineLevel="0" collapsed="false">
      <c r="A15" s="0" t="s">
        <v>16</v>
      </c>
      <c r="B15" s="8" t="n">
        <v>0.45</v>
      </c>
    </row>
    <row r="17" customFormat="false" ht="15" hidden="false" customHeight="false" outlineLevel="0" collapsed="false">
      <c r="A17" s="3" t="s">
        <v>17</v>
      </c>
    </row>
    <row r="18" customFormat="false" ht="15" hidden="false" customHeight="false" outlineLevel="0" collapsed="false">
      <c r="A18" s="6" t="s">
        <v>10</v>
      </c>
      <c r="B18" s="6" t="s">
        <v>11</v>
      </c>
    </row>
    <row r="19" customFormat="false" ht="15" hidden="false" customHeight="false" outlineLevel="0" collapsed="false">
      <c r="A19" s="0" t="s">
        <v>18</v>
      </c>
      <c r="B19" s="7" t="n">
        <v>4.5</v>
      </c>
    </row>
    <row r="20" customFormat="false" ht="15" hidden="false" customHeight="false" outlineLevel="0" collapsed="false">
      <c r="A20" s="0" t="s">
        <v>19</v>
      </c>
      <c r="B20" s="7" t="n">
        <v>1.5</v>
      </c>
    </row>
    <row r="21" customFormat="false" ht="15" hidden="false" customHeight="false" outlineLevel="0" collapsed="false">
      <c r="A21" s="0" t="s">
        <v>20</v>
      </c>
      <c r="B21" s="7" t="n">
        <v>3</v>
      </c>
    </row>
    <row r="23" customFormat="false" ht="15" hidden="false" customHeight="false" outlineLevel="0" collapsed="false">
      <c r="A23" s="0" t="s">
        <v>21</v>
      </c>
      <c r="B23" s="7" t="n">
        <v>55</v>
      </c>
    </row>
    <row r="24" customFormat="false" ht="15" hidden="false" customHeight="false" outlineLevel="0" collapsed="false">
      <c r="A24" s="0" t="s">
        <v>22</v>
      </c>
      <c r="B24" s="9" t="n">
        <v>8</v>
      </c>
    </row>
    <row r="25" customFormat="false" ht="15" hidden="false" customHeight="false" outlineLevel="0" collapsed="false">
      <c r="A25" s="0" t="s">
        <v>23</v>
      </c>
      <c r="B25" s="9" t="n">
        <v>12.2</v>
      </c>
    </row>
    <row r="26" customFormat="false" ht="15" hidden="false" customHeight="false" outlineLevel="0" collapsed="false">
      <c r="A26" s="0" t="s">
        <v>24</v>
      </c>
      <c r="B26" s="8" t="n">
        <v>0.71</v>
      </c>
    </row>
    <row r="28" customFormat="false" ht="15" hidden="false" customHeight="false" outlineLevel="0" collapsed="false">
      <c r="A28" s="3" t="s">
        <v>25</v>
      </c>
    </row>
    <row r="29" customFormat="false" ht="15" hidden="false" customHeight="false" outlineLevel="0" collapsed="false">
      <c r="A29" s="6" t="s">
        <v>10</v>
      </c>
      <c r="B29" s="6" t="s">
        <v>26</v>
      </c>
    </row>
    <row r="30" customFormat="false" ht="15" hidden="false" customHeight="false" outlineLevel="0" collapsed="false">
      <c r="A30" s="0" t="s">
        <v>27</v>
      </c>
      <c r="B30" s="10" t="n">
        <v>20</v>
      </c>
    </row>
    <row r="31" customFormat="false" ht="15" hidden="false" customHeight="false" outlineLevel="0" collapsed="false">
      <c r="A31" s="0" t="s">
        <v>28</v>
      </c>
      <c r="B31" s="10" t="n">
        <v>24</v>
      </c>
    </row>
    <row r="32" customFormat="false" ht="15" hidden="false" customHeight="false" outlineLevel="0" collapsed="false">
      <c r="A32" s="0" t="s">
        <v>29</v>
      </c>
      <c r="B32" s="10" t="n">
        <v>20</v>
      </c>
    </row>
    <row r="33" customFormat="false" ht="15" hidden="false" customHeight="false" outlineLevel="0" collapsed="false">
      <c r="A33" s="0" t="s">
        <v>30</v>
      </c>
      <c r="B33" s="8" t="n">
        <v>0.595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2" t="s">
        <v>31</v>
      </c>
    </row>
    <row r="3" customFormat="false" ht="15" hidden="false" customHeight="false" outlineLevel="0" collapsed="false">
      <c r="A3" s="3" t="s">
        <v>32</v>
      </c>
    </row>
    <row r="4" customFormat="false" ht="15" hidden="false" customHeight="false" outlineLevel="0" collapsed="false">
      <c r="A4" s="11" t="s">
        <v>10</v>
      </c>
      <c r="B4" s="11" t="s">
        <v>26</v>
      </c>
      <c r="C4" s="11" t="s">
        <v>33</v>
      </c>
      <c r="D4" s="11" t="s">
        <v>34</v>
      </c>
      <c r="E4" s="11" t="s">
        <v>35</v>
      </c>
      <c r="F4" s="11" t="s">
        <v>36</v>
      </c>
      <c r="G4" s="11" t="s">
        <v>37</v>
      </c>
      <c r="H4" s="11" t="s">
        <v>38</v>
      </c>
      <c r="I4" s="11" t="s">
        <v>39</v>
      </c>
      <c r="J4" s="11" t="s">
        <v>40</v>
      </c>
      <c r="K4" s="11" t="s">
        <v>41</v>
      </c>
    </row>
    <row r="5" customFormat="false" ht="15" hidden="false" customHeight="false" outlineLevel="0" collapsed="false">
      <c r="A5" s="0" t="s">
        <v>42</v>
      </c>
      <c r="B5" s="12" t="n">
        <v>2.733</v>
      </c>
      <c r="C5" s="12" t="n">
        <v>4.467</v>
      </c>
      <c r="D5" s="12" t="n">
        <v>6.867</v>
      </c>
      <c r="E5" s="12" t="n">
        <v>9.733</v>
      </c>
      <c r="F5" s="12" t="n">
        <v>12.933</v>
      </c>
      <c r="G5" s="12" t="n">
        <v>15.747</v>
      </c>
      <c r="H5" s="12" t="n">
        <v>18.6</v>
      </c>
      <c r="I5" s="12" t="n">
        <v>21.4</v>
      </c>
      <c r="J5" s="12" t="n">
        <v>24.1</v>
      </c>
      <c r="K5" s="12" t="n">
        <v>26.5</v>
      </c>
    </row>
    <row r="6" customFormat="false" ht="15" hidden="false" customHeight="false" outlineLevel="0" collapsed="false">
      <c r="A6" s="0" t="s">
        <v>43</v>
      </c>
      <c r="B6" s="13" t="s">
        <v>44</v>
      </c>
      <c r="C6" s="14" t="n">
        <v>0.63</v>
      </c>
      <c r="D6" s="14" t="n">
        <v>0.54</v>
      </c>
      <c r="E6" s="14" t="n">
        <v>0.42</v>
      </c>
      <c r="F6" s="14" t="n">
        <v>0.33</v>
      </c>
      <c r="G6" s="14" t="n">
        <v>0.22</v>
      </c>
      <c r="H6" s="14" t="n">
        <v>0.18</v>
      </c>
      <c r="I6" s="14" t="n">
        <v>0.15</v>
      </c>
      <c r="J6" s="14" t="n">
        <v>0.13</v>
      </c>
      <c r="K6" s="14" t="n">
        <v>0.1</v>
      </c>
    </row>
    <row r="8" customFormat="false" ht="15" hidden="false" customHeight="false" outlineLevel="0" collapsed="false">
      <c r="A8" s="3" t="s">
        <v>45</v>
      </c>
    </row>
    <row r="9" customFormat="false" ht="15" hidden="false" customHeight="false" outlineLevel="0" collapsed="false">
      <c r="A9" s="11" t="s">
        <v>46</v>
      </c>
      <c r="B9" s="11" t="s">
        <v>26</v>
      </c>
      <c r="C9" s="11" t="s">
        <v>33</v>
      </c>
      <c r="D9" s="11" t="s">
        <v>34</v>
      </c>
      <c r="E9" s="11" t="s">
        <v>35</v>
      </c>
      <c r="F9" s="11" t="s">
        <v>36</v>
      </c>
      <c r="G9" s="11" t="s">
        <v>37</v>
      </c>
      <c r="H9" s="11" t="s">
        <v>38</v>
      </c>
      <c r="I9" s="11" t="s">
        <v>39</v>
      </c>
      <c r="J9" s="11" t="s">
        <v>40</v>
      </c>
      <c r="K9" s="11" t="s">
        <v>41</v>
      </c>
    </row>
    <row r="10" customFormat="false" ht="15" hidden="false" customHeight="false" outlineLevel="0" collapsed="false">
      <c r="A10" s="15" t="s">
        <v>47</v>
      </c>
      <c r="B10" s="12" t="n">
        <v>1.6398</v>
      </c>
      <c r="C10" s="12" t="n">
        <v>2.6802</v>
      </c>
      <c r="D10" s="12" t="n">
        <v>4.1202</v>
      </c>
      <c r="E10" s="12" t="n">
        <v>5.8398</v>
      </c>
      <c r="F10" s="12" t="n">
        <v>7.7598</v>
      </c>
      <c r="G10" s="12" t="n">
        <v>9.4482</v>
      </c>
      <c r="H10" s="12" t="n">
        <v>11.16</v>
      </c>
      <c r="I10" s="12" t="n">
        <v>12.84</v>
      </c>
      <c r="J10" s="12" t="n">
        <v>14.46</v>
      </c>
      <c r="K10" s="12" t="n">
        <v>15.9</v>
      </c>
    </row>
    <row r="11" customFormat="false" ht="15" hidden="false" customHeight="false" outlineLevel="0" collapsed="false">
      <c r="A11" s="15" t="s">
        <v>48</v>
      </c>
      <c r="B11" s="12" t="n">
        <v>0.5466</v>
      </c>
      <c r="C11" s="12" t="n">
        <v>0.8934</v>
      </c>
      <c r="D11" s="12" t="n">
        <v>1.3734</v>
      </c>
      <c r="E11" s="12" t="n">
        <v>1.9466</v>
      </c>
      <c r="F11" s="12" t="n">
        <v>2.5866</v>
      </c>
      <c r="G11" s="12" t="n">
        <v>3.1494</v>
      </c>
      <c r="H11" s="12" t="n">
        <v>3.72</v>
      </c>
      <c r="I11" s="12" t="n">
        <v>4.28</v>
      </c>
      <c r="J11" s="12" t="n">
        <v>4.82</v>
      </c>
      <c r="K11" s="12" t="n">
        <v>5.3</v>
      </c>
    </row>
    <row r="12" customFormat="false" ht="15" hidden="false" customHeight="false" outlineLevel="0" collapsed="false">
      <c r="A12" s="15" t="s">
        <v>49</v>
      </c>
      <c r="B12" s="12" t="n">
        <v>0.2733</v>
      </c>
      <c r="C12" s="12" t="n">
        <v>0.4467</v>
      </c>
      <c r="D12" s="12" t="n">
        <v>0.6867</v>
      </c>
      <c r="E12" s="12" t="n">
        <v>0.9733</v>
      </c>
      <c r="F12" s="12" t="n">
        <v>1.2933</v>
      </c>
      <c r="G12" s="12" t="n">
        <v>1.5747</v>
      </c>
      <c r="H12" s="12" t="n">
        <v>1.86</v>
      </c>
      <c r="I12" s="12" t="n">
        <v>2.14</v>
      </c>
      <c r="J12" s="12" t="n">
        <v>2.41</v>
      </c>
      <c r="K12" s="12" t="n">
        <v>2.65</v>
      </c>
    </row>
    <row r="13" customFormat="false" ht="15" hidden="false" customHeight="false" outlineLevel="0" collapsed="false">
      <c r="A13" s="15" t="s">
        <v>50</v>
      </c>
      <c r="B13" s="12" t="n">
        <v>0.13665</v>
      </c>
      <c r="C13" s="12" t="n">
        <v>0.22335</v>
      </c>
      <c r="D13" s="12" t="n">
        <v>0.34335</v>
      </c>
      <c r="E13" s="12" t="n">
        <v>0.48665</v>
      </c>
      <c r="F13" s="12" t="n">
        <v>0.64665</v>
      </c>
      <c r="G13" s="12" t="n">
        <v>0.78735</v>
      </c>
      <c r="H13" s="12" t="n">
        <v>0.93</v>
      </c>
      <c r="I13" s="12" t="n">
        <v>1.07</v>
      </c>
      <c r="J13" s="12" t="n">
        <v>1.205</v>
      </c>
      <c r="K13" s="12" t="n">
        <v>1.325</v>
      </c>
    </row>
    <row r="14" customFormat="false" ht="15" hidden="false" customHeight="false" outlineLevel="0" collapsed="false">
      <c r="A14" s="15" t="s">
        <v>51</v>
      </c>
      <c r="B14" s="12" t="n">
        <v>0.13665</v>
      </c>
      <c r="C14" s="12" t="n">
        <v>0.22335</v>
      </c>
      <c r="D14" s="12" t="n">
        <v>0.34335</v>
      </c>
      <c r="E14" s="12" t="n">
        <v>0.48665</v>
      </c>
      <c r="F14" s="12" t="n">
        <v>0.64665</v>
      </c>
      <c r="G14" s="12" t="n">
        <v>0.78735</v>
      </c>
      <c r="H14" s="12" t="n">
        <v>0.93</v>
      </c>
      <c r="I14" s="12" t="n">
        <v>1.07</v>
      </c>
      <c r="J14" s="12" t="n">
        <v>1.205</v>
      </c>
      <c r="K14" s="12" t="n">
        <v>1.325</v>
      </c>
    </row>
    <row r="16" customFormat="false" ht="15" hidden="false" customHeight="false" outlineLevel="0" collapsed="false">
      <c r="A16" s="3" t="s">
        <v>52</v>
      </c>
    </row>
    <row r="17" customFormat="false" ht="15" hidden="false" customHeight="false" outlineLevel="0" collapsed="false">
      <c r="A17" s="11" t="s">
        <v>10</v>
      </c>
      <c r="B17" s="11" t="s">
        <v>26</v>
      </c>
      <c r="C17" s="11" t="s">
        <v>33</v>
      </c>
      <c r="D17" s="11" t="s">
        <v>34</v>
      </c>
      <c r="E17" s="11" t="s">
        <v>35</v>
      </c>
      <c r="F17" s="11" t="s">
        <v>36</v>
      </c>
      <c r="G17" s="11" t="s">
        <v>37</v>
      </c>
      <c r="H17" s="11" t="s">
        <v>38</v>
      </c>
      <c r="I17" s="11" t="s">
        <v>39</v>
      </c>
      <c r="J17" s="11" t="s">
        <v>40</v>
      </c>
      <c r="K17" s="11" t="s">
        <v>41</v>
      </c>
    </row>
    <row r="18" customFormat="false" ht="15" hidden="false" customHeight="false" outlineLevel="0" collapsed="false">
      <c r="A18" s="0" t="s">
        <v>27</v>
      </c>
      <c r="B18" s="16" t="n">
        <v>20</v>
      </c>
      <c r="C18" s="16" t="n">
        <v>40</v>
      </c>
      <c r="D18" s="16" t="n">
        <v>65</v>
      </c>
      <c r="E18" s="16" t="n">
        <v>85</v>
      </c>
      <c r="F18" s="16" t="n">
        <v>100</v>
      </c>
      <c r="G18" s="16" t="n">
        <v>125</v>
      </c>
      <c r="H18" s="16" t="n">
        <v>140</v>
      </c>
      <c r="I18" s="16" t="n">
        <v>155</v>
      </c>
      <c r="J18" s="16" t="n">
        <v>168</v>
      </c>
      <c r="K18" s="16" t="n">
        <v>180</v>
      </c>
    </row>
    <row r="19" customFormat="false" ht="15" hidden="false" customHeight="false" outlineLevel="0" collapsed="false">
      <c r="A19" s="0" t="s">
        <v>28</v>
      </c>
      <c r="B19" s="16" t="n">
        <v>24</v>
      </c>
      <c r="C19" s="16" t="n">
        <v>48</v>
      </c>
      <c r="D19" s="16" t="n">
        <v>48</v>
      </c>
      <c r="E19" s="16" t="n">
        <v>96</v>
      </c>
      <c r="F19" s="16" t="n">
        <v>96</v>
      </c>
      <c r="G19" s="16" t="n">
        <v>96</v>
      </c>
      <c r="H19" s="16" t="n">
        <v>120</v>
      </c>
      <c r="I19" s="16" t="n">
        <v>120</v>
      </c>
      <c r="J19" s="16" t="n">
        <v>144</v>
      </c>
      <c r="K19" s="16" t="n">
        <v>144</v>
      </c>
    </row>
    <row r="20" customFormat="false" ht="15" hidden="false" customHeight="false" outlineLevel="0" collapsed="false">
      <c r="A20" s="0" t="s">
        <v>53</v>
      </c>
      <c r="B20" s="17" t="n">
        <v>81.99</v>
      </c>
      <c r="C20" s="17" t="n">
        <v>67.005</v>
      </c>
      <c r="D20" s="17" t="n">
        <v>63.3876923076923</v>
      </c>
      <c r="E20" s="17" t="n">
        <v>68.7035294117647</v>
      </c>
      <c r="F20" s="17" t="n">
        <v>77.598</v>
      </c>
      <c r="G20" s="17" t="n">
        <v>75.5856</v>
      </c>
      <c r="H20" s="17" t="n">
        <v>79.7142857142857</v>
      </c>
      <c r="I20" s="17" t="n">
        <v>82.8387096774194</v>
      </c>
      <c r="J20" s="17" t="n">
        <v>86.0714285714286</v>
      </c>
      <c r="K20" s="17" t="n">
        <v>88.3333333333333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2" t="s">
        <v>54</v>
      </c>
    </row>
    <row r="3" customFormat="false" ht="15" hidden="false" customHeight="false" outlineLevel="0" collapsed="false">
      <c r="A3" s="3" t="s">
        <v>55</v>
      </c>
    </row>
    <row r="4" customFormat="false" ht="15" hidden="false" customHeight="false" outlineLevel="0" collapsed="false">
      <c r="A4" s="11" t="s">
        <v>10</v>
      </c>
      <c r="B4" s="11" t="s">
        <v>26</v>
      </c>
      <c r="C4" s="11" t="s">
        <v>33</v>
      </c>
      <c r="D4" s="11" t="s">
        <v>34</v>
      </c>
      <c r="E4" s="11" t="s">
        <v>35</v>
      </c>
      <c r="F4" s="11" t="s">
        <v>36</v>
      </c>
      <c r="G4" s="11" t="s">
        <v>37</v>
      </c>
      <c r="H4" s="11" t="s">
        <v>38</v>
      </c>
      <c r="I4" s="11" t="s">
        <v>39</v>
      </c>
      <c r="J4" s="11" t="s">
        <v>40</v>
      </c>
      <c r="K4" s="11" t="s">
        <v>41</v>
      </c>
    </row>
    <row r="5" customFormat="false" ht="15" hidden="false" customHeight="false" outlineLevel="0" collapsed="false">
      <c r="A5" s="0" t="s">
        <v>56</v>
      </c>
      <c r="B5" s="12" t="n">
        <v>1.107</v>
      </c>
      <c r="C5" s="12" t="n">
        <v>1.473</v>
      </c>
      <c r="D5" s="12" t="n">
        <v>2.16</v>
      </c>
      <c r="E5" s="12" t="n">
        <v>3.173</v>
      </c>
      <c r="F5" s="12" t="n">
        <v>4.507</v>
      </c>
      <c r="G5" s="12" t="n">
        <v>5.493</v>
      </c>
      <c r="H5" s="12" t="n">
        <v>6.642</v>
      </c>
      <c r="I5" s="12" t="n">
        <v>7.849</v>
      </c>
      <c r="J5" s="12" t="n">
        <v>8.966</v>
      </c>
      <c r="K5" s="12" t="n">
        <v>9.757</v>
      </c>
    </row>
    <row r="6" customFormat="false" ht="15" hidden="false" customHeight="false" outlineLevel="0" collapsed="false">
      <c r="A6" s="0" t="s">
        <v>57</v>
      </c>
      <c r="B6" s="14" t="n">
        <v>0.405</v>
      </c>
      <c r="C6" s="14" t="n">
        <v>0.329</v>
      </c>
      <c r="D6" s="14" t="n">
        <v>0.314</v>
      </c>
      <c r="E6" s="14" t="n">
        <v>0.326</v>
      </c>
      <c r="F6" s="14" t="n">
        <v>0.348</v>
      </c>
      <c r="G6" s="14" t="n">
        <v>0.349</v>
      </c>
      <c r="H6" s="14" t="n">
        <v>0.357</v>
      </c>
      <c r="I6" s="14" t="n">
        <v>0.366</v>
      </c>
      <c r="J6" s="14" t="n">
        <v>0.372</v>
      </c>
      <c r="K6" s="14" t="n">
        <v>0.368</v>
      </c>
    </row>
    <row r="8" customFormat="false" ht="15" hidden="false" customHeight="false" outlineLevel="0" collapsed="false">
      <c r="A8" s="3" t="s">
        <v>58</v>
      </c>
    </row>
    <row r="9" customFormat="false" ht="15" hidden="false" customHeight="false" outlineLevel="0" collapsed="false">
      <c r="A9" s="11" t="s">
        <v>10</v>
      </c>
      <c r="B9" s="11" t="s">
        <v>26</v>
      </c>
      <c r="C9" s="11" t="s">
        <v>33</v>
      </c>
      <c r="D9" s="11" t="s">
        <v>34</v>
      </c>
      <c r="E9" s="11" t="s">
        <v>35</v>
      </c>
      <c r="F9" s="11" t="s">
        <v>36</v>
      </c>
      <c r="G9" s="11" t="s">
        <v>37</v>
      </c>
      <c r="H9" s="11" t="s">
        <v>38</v>
      </c>
      <c r="I9" s="11" t="s">
        <v>39</v>
      </c>
      <c r="J9" s="11" t="s">
        <v>40</v>
      </c>
      <c r="K9" s="11" t="s">
        <v>41</v>
      </c>
    </row>
    <row r="10" customFormat="false" ht="15" hidden="false" customHeight="false" outlineLevel="0" collapsed="false">
      <c r="A10" s="0" t="s">
        <v>59</v>
      </c>
      <c r="B10" s="12" t="n">
        <v>1.626</v>
      </c>
      <c r="C10" s="12" t="n">
        <v>2.994</v>
      </c>
      <c r="D10" s="12" t="n">
        <v>4.707</v>
      </c>
      <c r="E10" s="12" t="n">
        <v>6.56</v>
      </c>
      <c r="F10" s="12" t="n">
        <v>8.426</v>
      </c>
      <c r="G10" s="12" t="n">
        <v>10.254</v>
      </c>
      <c r="H10" s="12" t="n">
        <v>11.958</v>
      </c>
      <c r="I10" s="12" t="n">
        <v>13.551</v>
      </c>
      <c r="J10" s="12" t="n">
        <v>15.134</v>
      </c>
      <c r="K10" s="12" t="n">
        <v>16.743</v>
      </c>
    </row>
    <row r="11" customFormat="false" ht="15" hidden="false" customHeight="false" outlineLevel="0" collapsed="false">
      <c r="A11" s="0" t="s">
        <v>60</v>
      </c>
      <c r="B11" s="14" t="n">
        <v>0.594950603732163</v>
      </c>
      <c r="C11" s="14" t="n">
        <v>0.670248488918738</v>
      </c>
      <c r="D11" s="14" t="n">
        <v>0.685452162516383</v>
      </c>
      <c r="E11" s="14" t="n">
        <v>0.673995684783726</v>
      </c>
      <c r="F11" s="14" t="n">
        <v>0.651511636897858</v>
      </c>
      <c r="G11" s="14" t="n">
        <v>0.651171651743189</v>
      </c>
      <c r="H11" s="14" t="n">
        <v>0.642903225806452</v>
      </c>
      <c r="I11" s="14" t="n">
        <v>0.633224299065421</v>
      </c>
      <c r="J11" s="14" t="n">
        <v>0.627966804979253</v>
      </c>
      <c r="K11" s="14" t="n">
        <v>0.631811320754717</v>
      </c>
    </row>
    <row r="13" customFormat="false" ht="15" hidden="false" customHeight="false" outlineLevel="0" collapsed="false">
      <c r="A13" s="3" t="s">
        <v>61</v>
      </c>
    </row>
    <row r="14" customFormat="false" ht="15" hidden="false" customHeight="false" outlineLevel="0" collapsed="false">
      <c r="A14" s="11" t="s">
        <v>62</v>
      </c>
      <c r="B14" s="11" t="s">
        <v>26</v>
      </c>
      <c r="C14" s="11" t="s">
        <v>33</v>
      </c>
      <c r="D14" s="11" t="s">
        <v>34</v>
      </c>
      <c r="E14" s="11" t="s">
        <v>35</v>
      </c>
      <c r="F14" s="11" t="s">
        <v>36</v>
      </c>
      <c r="G14" s="11" t="s">
        <v>37</v>
      </c>
      <c r="H14" s="11" t="s">
        <v>38</v>
      </c>
      <c r="I14" s="11" t="s">
        <v>39</v>
      </c>
      <c r="J14" s="11" t="s">
        <v>40</v>
      </c>
      <c r="K14" s="11" t="s">
        <v>41</v>
      </c>
    </row>
    <row r="15" customFormat="false" ht="15" hidden="false" customHeight="false" outlineLevel="0" collapsed="false">
      <c r="A15" s="0" t="s">
        <v>63</v>
      </c>
      <c r="B15" s="12" t="n">
        <v>0.45</v>
      </c>
      <c r="C15" s="12" t="n">
        <v>0.95</v>
      </c>
      <c r="D15" s="12" t="n">
        <v>1.3</v>
      </c>
      <c r="E15" s="12" t="n">
        <v>1.75</v>
      </c>
      <c r="F15" s="12" t="n">
        <v>2.2</v>
      </c>
      <c r="G15" s="12" t="n">
        <v>2.6</v>
      </c>
      <c r="H15" s="12" t="n">
        <v>3</v>
      </c>
      <c r="I15" s="12" t="n">
        <v>3.5</v>
      </c>
      <c r="J15" s="12" t="n">
        <v>3.95</v>
      </c>
      <c r="K15" s="12" t="n">
        <v>4.3</v>
      </c>
    </row>
    <row r="16" customFormat="false" ht="15" hidden="false" customHeight="false" outlineLevel="0" collapsed="false">
      <c r="A16" s="0" t="s">
        <v>64</v>
      </c>
      <c r="B16" s="12" t="n">
        <v>0.3</v>
      </c>
      <c r="C16" s="12" t="n">
        <v>0.6</v>
      </c>
      <c r="D16" s="12" t="n">
        <v>0.7</v>
      </c>
      <c r="E16" s="12" t="n">
        <v>1</v>
      </c>
      <c r="F16" s="12" t="n">
        <v>1.2</v>
      </c>
      <c r="G16" s="12" t="n">
        <v>1.4</v>
      </c>
      <c r="H16" s="12" t="n">
        <v>1.7</v>
      </c>
      <c r="I16" s="12" t="n">
        <v>2</v>
      </c>
      <c r="J16" s="12" t="n">
        <v>2.3</v>
      </c>
      <c r="K16" s="12" t="n">
        <v>2.5</v>
      </c>
    </row>
    <row r="17" customFormat="false" ht="15" hidden="false" customHeight="false" outlineLevel="0" collapsed="false">
      <c r="A17" s="0" t="s">
        <v>65</v>
      </c>
      <c r="B17" s="12" t="n">
        <v>0.35</v>
      </c>
      <c r="C17" s="12" t="n">
        <v>0.65</v>
      </c>
      <c r="D17" s="12" t="n">
        <v>0.85</v>
      </c>
      <c r="E17" s="12" t="n">
        <v>1.15</v>
      </c>
      <c r="F17" s="12" t="n">
        <v>1.4</v>
      </c>
      <c r="G17" s="12" t="n">
        <v>1.65</v>
      </c>
      <c r="H17" s="12" t="n">
        <v>1.95</v>
      </c>
      <c r="I17" s="12" t="n">
        <v>2.3</v>
      </c>
      <c r="J17" s="12" t="n">
        <v>2.6</v>
      </c>
      <c r="K17" s="12" t="n">
        <v>2.85</v>
      </c>
    </row>
    <row r="18" customFormat="false" ht="15" hidden="false" customHeight="false" outlineLevel="0" collapsed="false">
      <c r="A18" s="0" t="s">
        <v>66</v>
      </c>
      <c r="B18" s="18" t="n">
        <v>1.1</v>
      </c>
      <c r="C18" s="18" t="n">
        <v>2.2</v>
      </c>
      <c r="D18" s="18" t="n">
        <v>2.85</v>
      </c>
      <c r="E18" s="18" t="n">
        <v>3.9</v>
      </c>
      <c r="F18" s="18" t="n">
        <v>4.8</v>
      </c>
      <c r="G18" s="18" t="n">
        <v>5.65</v>
      </c>
      <c r="H18" s="18" t="n">
        <v>6.65</v>
      </c>
      <c r="I18" s="18" t="n">
        <v>7.8</v>
      </c>
      <c r="J18" s="18" t="n">
        <v>8.85</v>
      </c>
      <c r="K18" s="18" t="n">
        <v>9.65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2" t="s">
        <v>67</v>
      </c>
    </row>
    <row r="3" customFormat="false" ht="15" hidden="false" customHeight="false" outlineLevel="0" collapsed="false">
      <c r="A3" s="3" t="s">
        <v>68</v>
      </c>
    </row>
    <row r="4" customFormat="false" ht="15" hidden="false" customHeight="false" outlineLevel="0" collapsed="false">
      <c r="A4" s="11" t="s">
        <v>10</v>
      </c>
      <c r="B4" s="11" t="s">
        <v>26</v>
      </c>
      <c r="C4" s="11" t="s">
        <v>33</v>
      </c>
      <c r="D4" s="11" t="s">
        <v>34</v>
      </c>
      <c r="E4" s="11" t="s">
        <v>35</v>
      </c>
      <c r="F4" s="11" t="s">
        <v>36</v>
      </c>
      <c r="G4" s="11" t="s">
        <v>37</v>
      </c>
      <c r="H4" s="11" t="s">
        <v>38</v>
      </c>
      <c r="I4" s="11" t="s">
        <v>39</v>
      </c>
      <c r="J4" s="11" t="s">
        <v>40</v>
      </c>
      <c r="K4" s="11" t="s">
        <v>41</v>
      </c>
    </row>
    <row r="5" customFormat="false" ht="15" hidden="false" customHeight="false" outlineLevel="0" collapsed="false">
      <c r="A5" s="0" t="s">
        <v>59</v>
      </c>
      <c r="B5" s="12" t="n">
        <v>1.626</v>
      </c>
      <c r="C5" s="12" t="n">
        <v>2.994</v>
      </c>
      <c r="D5" s="12" t="n">
        <v>4.707</v>
      </c>
      <c r="E5" s="12" t="n">
        <v>6.56</v>
      </c>
      <c r="F5" s="12" t="n">
        <v>8.426</v>
      </c>
      <c r="G5" s="12" t="n">
        <v>10.254</v>
      </c>
      <c r="H5" s="12" t="n">
        <v>11.958</v>
      </c>
      <c r="I5" s="12" t="n">
        <v>13.551</v>
      </c>
      <c r="J5" s="12" t="n">
        <v>15.134</v>
      </c>
      <c r="K5" s="12" t="n">
        <v>16.743</v>
      </c>
    </row>
    <row r="6" customFormat="false" ht="15" hidden="false" customHeight="false" outlineLevel="0" collapsed="false">
      <c r="A6" s="0" t="s">
        <v>69</v>
      </c>
      <c r="B6" s="12" t="n">
        <v>1.1</v>
      </c>
      <c r="C6" s="12" t="n">
        <v>2.2</v>
      </c>
      <c r="D6" s="12" t="n">
        <v>2.85</v>
      </c>
      <c r="E6" s="12" t="n">
        <v>3.9</v>
      </c>
      <c r="F6" s="12" t="n">
        <v>4.8</v>
      </c>
      <c r="G6" s="12" t="n">
        <v>5.65</v>
      </c>
      <c r="H6" s="12" t="n">
        <v>6.65</v>
      </c>
      <c r="I6" s="12" t="n">
        <v>7.8</v>
      </c>
      <c r="J6" s="12" t="n">
        <v>8.85</v>
      </c>
      <c r="K6" s="12" t="n">
        <v>9.65</v>
      </c>
    </row>
    <row r="7" customFormat="false" ht="15" hidden="false" customHeight="false" outlineLevel="0" collapsed="false">
      <c r="A7" s="0" t="s">
        <v>70</v>
      </c>
      <c r="B7" s="18" t="n">
        <v>0.486</v>
      </c>
      <c r="C7" s="18" t="n">
        <v>1.624</v>
      </c>
      <c r="D7" s="18" t="n">
        <v>2.897</v>
      </c>
      <c r="E7" s="18" t="n">
        <v>4.18</v>
      </c>
      <c r="F7" s="18" t="n">
        <v>5.526</v>
      </c>
      <c r="G7" s="18" t="n">
        <v>6.914</v>
      </c>
      <c r="H7" s="18" t="n">
        <v>8.258</v>
      </c>
      <c r="I7" s="18" t="n">
        <v>9.55</v>
      </c>
      <c r="J7" s="18" t="n">
        <v>10.744</v>
      </c>
      <c r="K7" s="18" t="n">
        <v>11.813</v>
      </c>
    </row>
    <row r="8" customFormat="false" ht="15" hidden="false" customHeight="false" outlineLevel="0" collapsed="false">
      <c r="A8" s="0" t="s">
        <v>71</v>
      </c>
      <c r="B8" s="19" t="n">
        <v>0.178</v>
      </c>
      <c r="C8" s="19" t="n">
        <v>0.364</v>
      </c>
      <c r="D8" s="19" t="n">
        <v>0.422</v>
      </c>
      <c r="E8" s="19" t="n">
        <v>0.429</v>
      </c>
      <c r="F8" s="19" t="n">
        <v>0.427</v>
      </c>
      <c r="G8" s="19" t="n">
        <v>0.439</v>
      </c>
      <c r="H8" s="19" t="n">
        <v>0.444</v>
      </c>
      <c r="I8" s="19" t="n">
        <v>0.446</v>
      </c>
      <c r="J8" s="19" t="n">
        <v>0.446</v>
      </c>
      <c r="K8" s="19" t="n">
        <v>0.446</v>
      </c>
    </row>
    <row r="10" customFormat="false" ht="15" hidden="false" customHeight="false" outlineLevel="0" collapsed="false">
      <c r="A10" s="3" t="s">
        <v>72</v>
      </c>
    </row>
    <row r="11" customFormat="false" ht="15" hidden="false" customHeight="false" outlineLevel="0" collapsed="false">
      <c r="A11" s="11" t="s">
        <v>10</v>
      </c>
      <c r="B11" s="11" t="s">
        <v>26</v>
      </c>
      <c r="C11" s="11" t="s">
        <v>33</v>
      </c>
      <c r="D11" s="11" t="s">
        <v>34</v>
      </c>
      <c r="E11" s="11" t="s">
        <v>35</v>
      </c>
      <c r="F11" s="11" t="s">
        <v>36</v>
      </c>
      <c r="G11" s="11" t="s">
        <v>37</v>
      </c>
      <c r="H11" s="11" t="s">
        <v>38</v>
      </c>
      <c r="I11" s="11" t="s">
        <v>39</v>
      </c>
      <c r="J11" s="11" t="s">
        <v>40</v>
      </c>
      <c r="K11" s="11" t="s">
        <v>41</v>
      </c>
    </row>
    <row r="12" customFormat="false" ht="15" hidden="false" customHeight="false" outlineLevel="0" collapsed="false">
      <c r="A12" s="0" t="s">
        <v>73</v>
      </c>
      <c r="B12" s="12" t="n">
        <v>0.366</v>
      </c>
      <c r="C12" s="12" t="n">
        <v>1.474</v>
      </c>
      <c r="D12" s="12" t="n">
        <v>2.747</v>
      </c>
      <c r="E12" s="12" t="n">
        <v>3.98</v>
      </c>
      <c r="F12" s="12" t="n">
        <v>5.326</v>
      </c>
      <c r="G12" s="12" t="n">
        <v>6.714</v>
      </c>
      <c r="H12" s="12" t="n">
        <v>8.008</v>
      </c>
      <c r="I12" s="12" t="n">
        <v>9.3</v>
      </c>
      <c r="J12" s="12" t="n">
        <v>10.494</v>
      </c>
      <c r="K12" s="12" t="n">
        <v>11.563</v>
      </c>
    </row>
    <row r="13" customFormat="false" ht="15" hidden="false" customHeight="false" outlineLevel="0" collapsed="false">
      <c r="A13" s="0" t="s">
        <v>74</v>
      </c>
      <c r="B13" s="12" t="n">
        <v>0.05</v>
      </c>
      <c r="C13" s="12" t="n">
        <v>0.05</v>
      </c>
      <c r="D13" s="12" t="n">
        <v>0.05</v>
      </c>
      <c r="E13" s="12" t="n">
        <v>0.08</v>
      </c>
      <c r="F13" s="12" t="n">
        <v>0.08</v>
      </c>
      <c r="G13" s="12" t="n">
        <v>0.08</v>
      </c>
      <c r="H13" s="12" t="n">
        <v>0.1</v>
      </c>
      <c r="I13" s="12" t="n">
        <v>0.1</v>
      </c>
      <c r="J13" s="12" t="n">
        <v>0.1</v>
      </c>
      <c r="K13" s="12" t="n">
        <v>0.1</v>
      </c>
    </row>
    <row r="14" customFormat="false" ht="15" hidden="false" customHeight="false" outlineLevel="0" collapsed="false">
      <c r="A14" s="0" t="s">
        <v>75</v>
      </c>
      <c r="B14" s="12" t="n">
        <v>0.0632</v>
      </c>
      <c r="C14" s="12" t="n">
        <v>0.2848</v>
      </c>
      <c r="D14" s="12" t="n">
        <v>0.5394</v>
      </c>
      <c r="E14" s="12" t="n">
        <v>0.78</v>
      </c>
      <c r="F14" s="12" t="n">
        <v>1.0492</v>
      </c>
      <c r="G14" s="12" t="n">
        <v>1.3268</v>
      </c>
      <c r="H14" s="12" t="n">
        <v>1.5816</v>
      </c>
      <c r="I14" s="12" t="n">
        <v>1.84</v>
      </c>
      <c r="J14" s="12" t="n">
        <v>2.0788</v>
      </c>
      <c r="K14" s="12" t="n">
        <v>2.2926</v>
      </c>
    </row>
    <row r="15" customFormat="false" ht="15" hidden="false" customHeight="false" outlineLevel="0" collapsed="false">
      <c r="A15" s="0" t="s">
        <v>76</v>
      </c>
      <c r="B15" s="18" t="n">
        <v>0.2528</v>
      </c>
      <c r="C15" s="18" t="n">
        <v>1.1392</v>
      </c>
      <c r="D15" s="18" t="n">
        <v>2.1576</v>
      </c>
      <c r="E15" s="18" t="n">
        <v>3.12</v>
      </c>
      <c r="F15" s="18" t="n">
        <v>4.1968</v>
      </c>
      <c r="G15" s="18" t="n">
        <v>5.3072</v>
      </c>
      <c r="H15" s="18" t="n">
        <v>6.3264</v>
      </c>
      <c r="I15" s="18" t="n">
        <v>7.36</v>
      </c>
      <c r="J15" s="18" t="n">
        <v>8.3152</v>
      </c>
      <c r="K15" s="18" t="n">
        <v>9.1704</v>
      </c>
    </row>
    <row r="16" customFormat="false" ht="15" hidden="false" customHeight="false" outlineLevel="0" collapsed="false">
      <c r="A16" s="0" t="s">
        <v>77</v>
      </c>
      <c r="B16" s="19" t="n">
        <v>0.0924990852542993</v>
      </c>
      <c r="C16" s="19" t="n">
        <v>0.255025744347437</v>
      </c>
      <c r="D16" s="19" t="n">
        <v>0.314198339886413</v>
      </c>
      <c r="E16" s="19" t="n">
        <v>0.320558923250796</v>
      </c>
      <c r="F16" s="19" t="n">
        <v>0.324503208845589</v>
      </c>
      <c r="G16" s="19" t="n">
        <v>0.33702927541754</v>
      </c>
      <c r="H16" s="19" t="n">
        <v>0.340129032258065</v>
      </c>
      <c r="I16" s="19" t="n">
        <v>0.34392523364486</v>
      </c>
      <c r="J16" s="19" t="n">
        <v>0.345029045643154</v>
      </c>
      <c r="K16" s="19" t="n">
        <v>0.346052830188679</v>
      </c>
    </row>
    <row r="18" customFormat="false" ht="15" hidden="false" customHeight="false" outlineLevel="0" collapsed="false">
      <c r="A18" s="3" t="s">
        <v>78</v>
      </c>
    </row>
    <row r="19" customFormat="false" ht="15" hidden="false" customHeight="false" outlineLevel="0" collapsed="false">
      <c r="A19" s="11" t="s">
        <v>10</v>
      </c>
      <c r="B19" s="11" t="s">
        <v>26</v>
      </c>
      <c r="C19" s="11" t="s">
        <v>33</v>
      </c>
      <c r="D19" s="11" t="s">
        <v>34</v>
      </c>
      <c r="E19" s="11" t="s">
        <v>35</v>
      </c>
      <c r="F19" s="11" t="s">
        <v>36</v>
      </c>
      <c r="G19" s="11" t="s">
        <v>37</v>
      </c>
      <c r="H19" s="11" t="s">
        <v>38</v>
      </c>
      <c r="I19" s="11" t="s">
        <v>39</v>
      </c>
      <c r="J19" s="11" t="s">
        <v>40</v>
      </c>
      <c r="K19" s="11" t="s">
        <v>41</v>
      </c>
    </row>
    <row r="20" customFormat="false" ht="15" hidden="false" customHeight="false" outlineLevel="0" collapsed="false">
      <c r="A20" s="0" t="s">
        <v>79</v>
      </c>
      <c r="B20" s="12" t="n">
        <v>0.2528</v>
      </c>
      <c r="C20" s="12" t="n">
        <v>1.1392</v>
      </c>
      <c r="D20" s="12" t="n">
        <v>2.1576</v>
      </c>
      <c r="E20" s="12" t="n">
        <v>3.12</v>
      </c>
      <c r="F20" s="12" t="n">
        <v>4.1968</v>
      </c>
      <c r="G20" s="12" t="n">
        <v>5.3072</v>
      </c>
      <c r="H20" s="12" t="n">
        <v>6.3264</v>
      </c>
      <c r="I20" s="12" t="n">
        <v>7.36</v>
      </c>
      <c r="J20" s="12" t="n">
        <v>8.3152</v>
      </c>
      <c r="K20" s="12" t="n">
        <v>9.1704</v>
      </c>
    </row>
    <row r="21" customFormat="false" ht="15" hidden="false" customHeight="false" outlineLevel="0" collapsed="false">
      <c r="A21" s="0" t="s">
        <v>80</v>
      </c>
      <c r="B21" s="20" t="n">
        <v>1.5</v>
      </c>
      <c r="C21" s="20" t="n">
        <v>1.5</v>
      </c>
      <c r="D21" s="20" t="n">
        <v>1</v>
      </c>
      <c r="E21" s="20" t="n">
        <v>0.5</v>
      </c>
      <c r="F21" s="20" t="n">
        <v>0.3</v>
      </c>
      <c r="G21" s="20" t="n">
        <v>0.2</v>
      </c>
      <c r="H21" s="20" t="n">
        <v>0.2</v>
      </c>
      <c r="I21" s="20" t="n">
        <v>0.2</v>
      </c>
      <c r="J21" s="20" t="n">
        <v>0.2</v>
      </c>
      <c r="K21" s="20" t="n">
        <v>0.1</v>
      </c>
    </row>
    <row r="22" customFormat="false" ht="15" hidden="false" customHeight="false" outlineLevel="0" collapsed="false">
      <c r="A22" s="0" t="s">
        <v>81</v>
      </c>
      <c r="B22" s="18" t="n">
        <v>-1.2472</v>
      </c>
      <c r="C22" s="18" t="n">
        <v>-0.3608</v>
      </c>
      <c r="D22" s="18" t="n">
        <v>1.1576</v>
      </c>
      <c r="E22" s="18" t="n">
        <v>2.62</v>
      </c>
      <c r="F22" s="18" t="n">
        <v>3.8968</v>
      </c>
      <c r="G22" s="18" t="n">
        <v>5.1072</v>
      </c>
      <c r="H22" s="18" t="n">
        <v>6.1264</v>
      </c>
      <c r="I22" s="18" t="n">
        <v>7.16</v>
      </c>
      <c r="J22" s="18" t="n">
        <v>8.1152</v>
      </c>
      <c r="K22" s="18" t="n">
        <v>9.0704</v>
      </c>
    </row>
    <row r="24" customFormat="false" ht="15" hidden="false" customHeight="false" outlineLevel="0" collapsed="false">
      <c r="A24" s="0" t="s">
        <v>82</v>
      </c>
      <c r="B24" s="21" t="n">
        <v>-1.2472</v>
      </c>
      <c r="C24" s="21" t="n">
        <v>-1.608</v>
      </c>
      <c r="D24" s="21" t="n">
        <v>-0.4504</v>
      </c>
      <c r="E24" s="21" t="n">
        <v>2.1696</v>
      </c>
      <c r="F24" s="21" t="n">
        <v>6.0664</v>
      </c>
      <c r="G24" s="21" t="n">
        <v>11.1736</v>
      </c>
      <c r="H24" s="21" t="n">
        <v>17.3</v>
      </c>
      <c r="I24" s="21" t="n">
        <v>24.46</v>
      </c>
      <c r="J24" s="21" t="n">
        <v>32.5752</v>
      </c>
      <c r="K24" s="21" t="n">
        <v>41.6456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2" t="s">
        <v>83</v>
      </c>
    </row>
    <row r="3" customFormat="false" ht="15" hidden="false" customHeight="false" outlineLevel="0" collapsed="false">
      <c r="A3" s="3" t="s">
        <v>84</v>
      </c>
    </row>
    <row r="4" customFormat="false" ht="15" hidden="false" customHeight="false" outlineLevel="0" collapsed="false">
      <c r="A4" s="6" t="s">
        <v>85</v>
      </c>
      <c r="B4" s="6" t="s">
        <v>86</v>
      </c>
    </row>
    <row r="5" customFormat="false" ht="15" hidden="false" customHeight="false" outlineLevel="0" collapsed="false">
      <c r="A5" s="0" t="s">
        <v>87</v>
      </c>
      <c r="B5" s="22" t="n">
        <v>4.5</v>
      </c>
    </row>
    <row r="7" customFormat="false" ht="15" hidden="false" customHeight="false" outlineLevel="0" collapsed="false">
      <c r="A7" s="3" t="s">
        <v>88</v>
      </c>
    </row>
    <row r="9" customFormat="false" ht="15" hidden="false" customHeight="false" outlineLevel="0" collapsed="false">
      <c r="A9" s="0" t="s">
        <v>89</v>
      </c>
      <c r="B9" s="23" t="n">
        <v>0.6</v>
      </c>
    </row>
    <row r="10" customFormat="false" ht="15" hidden="false" customHeight="false" outlineLevel="0" collapsed="false">
      <c r="A10" s="0" t="s">
        <v>90</v>
      </c>
      <c r="B10" s="23" t="n">
        <v>0.25</v>
      </c>
    </row>
    <row r="11" customFormat="false" ht="15" hidden="false" customHeight="false" outlineLevel="0" collapsed="false">
      <c r="A11" s="0" t="s">
        <v>91</v>
      </c>
      <c r="B11" s="23" t="n">
        <v>0.4</v>
      </c>
    </row>
    <row r="12" customFormat="false" ht="15" hidden="false" customHeight="false" outlineLevel="0" collapsed="false">
      <c r="A12" s="0" t="s">
        <v>92</v>
      </c>
      <c r="B12" s="23" t="n">
        <v>0.15</v>
      </c>
    </row>
    <row r="13" customFormat="false" ht="15" hidden="false" customHeight="false" outlineLevel="0" collapsed="false">
      <c r="A13" s="0" t="s">
        <v>93</v>
      </c>
      <c r="B13" s="23" t="n">
        <v>0.1</v>
      </c>
    </row>
    <row r="14" customFormat="false" ht="15" hidden="false" customHeight="false" outlineLevel="0" collapsed="false">
      <c r="A14" s="0" t="s">
        <v>94</v>
      </c>
      <c r="B14" s="22" t="n">
        <v>1.5</v>
      </c>
    </row>
    <row r="16" customFormat="false" ht="15" hidden="false" customHeight="false" outlineLevel="0" collapsed="false">
      <c r="A16" s="3" t="s">
        <v>95</v>
      </c>
    </row>
    <row r="18" customFormat="false" ht="15" hidden="false" customHeight="false" outlineLevel="0" collapsed="false">
      <c r="A18" s="0" t="s">
        <v>96</v>
      </c>
      <c r="B18" s="23" t="n">
        <v>0.8</v>
      </c>
    </row>
    <row r="19" customFormat="false" ht="15" hidden="false" customHeight="false" outlineLevel="0" collapsed="false">
      <c r="A19" s="0" t="s">
        <v>97</v>
      </c>
      <c r="B19" s="23" t="n">
        <v>0.9</v>
      </c>
    </row>
    <row r="20" customFormat="false" ht="15" hidden="false" customHeight="false" outlineLevel="0" collapsed="false">
      <c r="A20" s="0" t="s">
        <v>98</v>
      </c>
      <c r="B20" s="23" t="n">
        <v>0.4</v>
      </c>
    </row>
    <row r="21" customFormat="false" ht="15" hidden="false" customHeight="false" outlineLevel="0" collapsed="false">
      <c r="A21" s="0" t="s">
        <v>99</v>
      </c>
      <c r="B21" s="23" t="n">
        <v>0.6</v>
      </c>
    </row>
    <row r="22" customFormat="false" ht="15" hidden="false" customHeight="false" outlineLevel="0" collapsed="false">
      <c r="A22" s="0" t="s">
        <v>100</v>
      </c>
      <c r="B22" s="23" t="n">
        <v>0.3</v>
      </c>
    </row>
    <row r="23" customFormat="false" ht="15" hidden="false" customHeight="false" outlineLevel="0" collapsed="false">
      <c r="A23" s="0" t="s">
        <v>101</v>
      </c>
      <c r="B23" s="22" t="n">
        <v>3</v>
      </c>
    </row>
    <row r="26" customFormat="false" ht="15" hidden="false" customHeight="false" outlineLevel="0" collapsed="false">
      <c r="A26" s="3" t="s">
        <v>102</v>
      </c>
    </row>
    <row r="27" customFormat="false" ht="15" hidden="false" customHeight="false" outlineLevel="0" collapsed="false">
      <c r="A27" s="6" t="s">
        <v>10</v>
      </c>
      <c r="B27" s="6" t="s">
        <v>11</v>
      </c>
    </row>
    <row r="28" customFormat="false" ht="15" hidden="false" customHeight="false" outlineLevel="0" collapsed="false">
      <c r="A28" s="0" t="s">
        <v>103</v>
      </c>
      <c r="B28" s="23" t="n">
        <v>5.7</v>
      </c>
    </row>
    <row r="29" customFormat="false" ht="15" hidden="false" customHeight="false" outlineLevel="0" collapsed="false">
      <c r="A29" s="0" t="s">
        <v>104</v>
      </c>
      <c r="B29" s="24" t="n">
        <v>0.077</v>
      </c>
    </row>
    <row r="30" customFormat="false" ht="15" hidden="false" customHeight="false" outlineLevel="0" collapsed="false">
      <c r="A30" s="0" t="s">
        <v>105</v>
      </c>
      <c r="B30" s="25" t="n">
        <v>1.8</v>
      </c>
    </row>
    <row r="31" customFormat="false" ht="15" hidden="false" customHeight="false" outlineLevel="0" collapsed="false">
      <c r="A31" s="0" t="s">
        <v>106</v>
      </c>
      <c r="B31" s="26" t="n">
        <v>11.1736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2" t="s">
        <v>107</v>
      </c>
    </row>
    <row r="3" customFormat="false" ht="15" hidden="false" customHeight="false" outlineLevel="0" collapsed="false">
      <c r="A3" s="3" t="s">
        <v>108</v>
      </c>
    </row>
    <row r="4" customFormat="false" ht="15" hidden="false" customHeight="false" outlineLevel="0" collapsed="false">
      <c r="A4" s="6" t="s">
        <v>10</v>
      </c>
      <c r="B4" s="6" t="s">
        <v>109</v>
      </c>
    </row>
    <row r="5" customFormat="false" ht="15" hidden="false" customHeight="false" outlineLevel="0" collapsed="false">
      <c r="A5" s="0" t="s">
        <v>110</v>
      </c>
      <c r="B5" s="23" t="n">
        <v>15.747</v>
      </c>
    </row>
    <row r="6" customFormat="false" ht="15" hidden="false" customHeight="false" outlineLevel="0" collapsed="false">
      <c r="A6" s="0" t="s">
        <v>111</v>
      </c>
      <c r="B6" s="23" t="n">
        <v>6.914</v>
      </c>
    </row>
    <row r="7" customFormat="false" ht="15" hidden="false" customHeight="false" outlineLevel="0" collapsed="false">
      <c r="A7" s="0" t="s">
        <v>112</v>
      </c>
      <c r="B7" s="24" t="n">
        <v>0.439</v>
      </c>
    </row>
    <row r="9" customFormat="false" ht="15" hidden="false" customHeight="false" outlineLevel="0" collapsed="false">
      <c r="A9" s="0" t="s">
        <v>113</v>
      </c>
      <c r="B9" s="27" t="n">
        <v>8</v>
      </c>
    </row>
    <row r="10" customFormat="false" ht="15" hidden="false" customHeight="false" outlineLevel="0" collapsed="false">
      <c r="A10" s="0" t="s">
        <v>114</v>
      </c>
      <c r="B10" s="22" t="n">
        <v>55.312</v>
      </c>
    </row>
    <row r="12" customFormat="false" ht="15" hidden="false" customHeight="false" outlineLevel="0" collapsed="false">
      <c r="A12" s="3" t="s">
        <v>115</v>
      </c>
    </row>
    <row r="13" customFormat="false" ht="15" hidden="false" customHeight="false" outlineLevel="0" collapsed="false">
      <c r="A13" s="6" t="s">
        <v>10</v>
      </c>
      <c r="B13" s="6" t="s">
        <v>11</v>
      </c>
    </row>
    <row r="14" customFormat="false" ht="15" hidden="false" customHeight="false" outlineLevel="0" collapsed="false">
      <c r="A14" s="0" t="s">
        <v>116</v>
      </c>
      <c r="B14" s="23" t="n">
        <v>4.5</v>
      </c>
    </row>
    <row r="15" customFormat="false" ht="15" hidden="false" customHeight="false" outlineLevel="0" collapsed="false">
      <c r="A15" s="0" t="s">
        <v>117</v>
      </c>
      <c r="B15" s="23" t="n">
        <v>55.312</v>
      </c>
    </row>
    <row r="16" customFormat="false" ht="15" hidden="false" customHeight="false" outlineLevel="0" collapsed="false">
      <c r="A16" s="0" t="s">
        <v>118</v>
      </c>
      <c r="B16" s="26" t="n">
        <v>50.812</v>
      </c>
    </row>
    <row r="18" customFormat="false" ht="15" hidden="false" customHeight="false" outlineLevel="0" collapsed="false">
      <c r="A18" s="3" t="s">
        <v>119</v>
      </c>
    </row>
    <row r="19" customFormat="false" ht="15" hidden="false" customHeight="false" outlineLevel="0" collapsed="false">
      <c r="A19" s="6" t="s">
        <v>10</v>
      </c>
      <c r="B19" s="6" t="s">
        <v>11</v>
      </c>
    </row>
    <row r="20" customFormat="false" ht="15" hidden="false" customHeight="false" outlineLevel="0" collapsed="false">
      <c r="A20" s="0" t="s">
        <v>23</v>
      </c>
      <c r="B20" s="28" t="n">
        <v>12.2</v>
      </c>
    </row>
    <row r="21" customFormat="false" ht="15" hidden="false" customHeight="false" outlineLevel="0" collapsed="false">
      <c r="A21" s="0" t="s">
        <v>120</v>
      </c>
      <c r="B21" s="29" t="n">
        <v>0.71</v>
      </c>
    </row>
    <row r="23" customFormat="false" ht="15" hidden="false" customHeight="false" outlineLevel="0" collapsed="false">
      <c r="A23" s="3" t="s">
        <v>121</v>
      </c>
    </row>
    <row r="24" customFormat="false" ht="15" hidden="false" customHeight="false" outlineLevel="0" collapsed="false">
      <c r="A24" s="6" t="s">
        <v>122</v>
      </c>
      <c r="B24" s="6" t="s">
        <v>123</v>
      </c>
      <c r="C24" s="6" t="s">
        <v>124</v>
      </c>
    </row>
    <row r="25" customFormat="false" ht="15" hidden="false" customHeight="false" outlineLevel="0" collapsed="false">
      <c r="A25" s="30" t="n">
        <v>6</v>
      </c>
      <c r="B25" s="23" t="n">
        <v>41.484</v>
      </c>
      <c r="C25" s="31" t="n">
        <v>9.21866666666667</v>
      </c>
    </row>
    <row r="26" customFormat="false" ht="15" hidden="false" customHeight="false" outlineLevel="0" collapsed="false">
      <c r="A26" s="30" t="n">
        <v>7</v>
      </c>
      <c r="B26" s="23" t="n">
        <v>48.398</v>
      </c>
      <c r="C26" s="31" t="n">
        <v>10.7551111111111</v>
      </c>
    </row>
    <row r="27" customFormat="false" ht="15" hidden="false" customHeight="false" outlineLevel="0" collapsed="false">
      <c r="A27" s="30" t="n">
        <v>8</v>
      </c>
      <c r="B27" s="23" t="n">
        <v>55.312</v>
      </c>
      <c r="C27" s="31" t="n">
        <v>12.2915555555556</v>
      </c>
    </row>
    <row r="28" customFormat="false" ht="15" hidden="false" customHeight="false" outlineLevel="0" collapsed="false">
      <c r="A28" s="30" t="n">
        <v>9</v>
      </c>
      <c r="B28" s="23" t="n">
        <v>62.226</v>
      </c>
      <c r="C28" s="31" t="n">
        <v>13.828</v>
      </c>
    </row>
    <row r="29" customFormat="false" ht="15" hidden="false" customHeight="false" outlineLevel="0" collapsed="false">
      <c r="A29" s="30" t="n">
        <v>10</v>
      </c>
      <c r="B29" s="23" t="n">
        <v>69.14</v>
      </c>
      <c r="C29" s="31" t="n">
        <v>15.3644444444444</v>
      </c>
    </row>
    <row r="31" customFormat="false" ht="15" hidden="false" customHeight="false" outlineLevel="0" collapsed="false">
      <c r="A31" s="3" t="s">
        <v>125</v>
      </c>
    </row>
    <row r="32" customFormat="false" ht="15" hidden="false" customHeight="false" outlineLevel="0" collapsed="false">
      <c r="A32" s="6" t="s">
        <v>126</v>
      </c>
      <c r="B32" s="6" t="s">
        <v>127</v>
      </c>
      <c r="C32" s="6" t="s">
        <v>128</v>
      </c>
    </row>
    <row r="33" customFormat="false" ht="15" hidden="false" customHeight="false" outlineLevel="0" collapsed="false">
      <c r="A33" s="15" t="s">
        <v>129</v>
      </c>
      <c r="B33" s="0" t="s">
        <v>130</v>
      </c>
      <c r="C33" s="0" t="s">
        <v>131</v>
      </c>
    </row>
    <row r="34" customFormat="false" ht="15" hidden="false" customHeight="false" outlineLevel="0" collapsed="false">
      <c r="A34" s="15" t="s">
        <v>132</v>
      </c>
      <c r="B34" s="0" t="s">
        <v>133</v>
      </c>
      <c r="C34" s="0" t="s">
        <v>134</v>
      </c>
    </row>
    <row r="35" customFormat="false" ht="15" hidden="false" customHeight="false" outlineLevel="0" collapsed="false">
      <c r="A35" s="15" t="s">
        <v>135</v>
      </c>
      <c r="B35" s="0" t="s">
        <v>136</v>
      </c>
      <c r="C35" s="0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3" t="s">
        <v>139</v>
      </c>
    </row>
    <row r="5" customFormat="false" ht="15" hidden="false" customHeight="false" outlineLevel="0" collapsed="false">
      <c r="A5" s="0" t="s">
        <v>140</v>
      </c>
      <c r="B5" s="15" t="s">
        <v>141</v>
      </c>
    </row>
    <row r="6" customFormat="false" ht="15" hidden="false" customHeight="false" outlineLevel="0" collapsed="false">
      <c r="A6" s="0" t="s">
        <v>142</v>
      </c>
      <c r="B6" s="15" t="s">
        <v>143</v>
      </c>
    </row>
    <row r="7" customFormat="false" ht="15" hidden="false" customHeight="false" outlineLevel="0" collapsed="false">
      <c r="A7" s="0" t="s">
        <v>144</v>
      </c>
      <c r="B7" s="15" t="s">
        <v>145</v>
      </c>
    </row>
    <row r="8" customFormat="false" ht="15" hidden="false" customHeight="false" outlineLevel="0" collapsed="false">
      <c r="A8" s="0" t="s">
        <v>146</v>
      </c>
      <c r="B8" s="15" t="s">
        <v>147</v>
      </c>
    </row>
    <row r="9" customFormat="false" ht="15" hidden="false" customHeight="false" outlineLevel="0" collapsed="false">
      <c r="A9" s="0" t="s">
        <v>148</v>
      </c>
      <c r="B9" s="15" t="s">
        <v>149</v>
      </c>
    </row>
    <row r="11" customFormat="false" ht="15" hidden="false" customHeight="false" outlineLevel="0" collapsed="false">
      <c r="A11" s="3" t="s">
        <v>150</v>
      </c>
    </row>
    <row r="13" customFormat="false" ht="15" hidden="false" customHeight="false" outlineLevel="0" collapsed="false">
      <c r="A13" s="0" t="s">
        <v>151</v>
      </c>
      <c r="B13" s="15" t="s">
        <v>152</v>
      </c>
    </row>
    <row r="14" customFormat="false" ht="15" hidden="false" customHeight="false" outlineLevel="0" collapsed="false">
      <c r="A14" s="0" t="s">
        <v>153</v>
      </c>
      <c r="B14" s="15" t="s">
        <v>154</v>
      </c>
    </row>
    <row r="15" customFormat="false" ht="15" hidden="false" customHeight="false" outlineLevel="0" collapsed="false">
      <c r="A15" s="0" t="s">
        <v>155</v>
      </c>
      <c r="B15" s="15" t="s">
        <v>156</v>
      </c>
    </row>
    <row r="16" customFormat="false" ht="15" hidden="false" customHeight="false" outlineLevel="0" collapsed="false">
      <c r="A16" s="0" t="s">
        <v>157</v>
      </c>
      <c r="B16" s="15" t="s">
        <v>156</v>
      </c>
    </row>
    <row r="17" customFormat="false" ht="15" hidden="false" customHeight="false" outlineLevel="0" collapsed="false">
      <c r="A17" s="0" t="s">
        <v>158</v>
      </c>
      <c r="B17" s="15" t="s">
        <v>159</v>
      </c>
    </row>
    <row r="18" customFormat="false" ht="15" hidden="false" customHeight="false" outlineLevel="0" collapsed="false">
      <c r="A18" s="0" t="s">
        <v>14</v>
      </c>
      <c r="B18" s="15" t="s">
        <v>160</v>
      </c>
    </row>
    <row r="20" customFormat="false" ht="15" hidden="false" customHeight="false" outlineLevel="0" collapsed="false">
      <c r="A20" s="3" t="s">
        <v>161</v>
      </c>
    </row>
    <row r="22" customFormat="false" ht="15" hidden="false" customHeight="false" outlineLevel="0" collapsed="false">
      <c r="A22" s="0" t="s">
        <v>162</v>
      </c>
      <c r="B22" s="15" t="s">
        <v>163</v>
      </c>
    </row>
    <row r="23" customFormat="false" ht="15" hidden="false" customHeight="false" outlineLevel="0" collapsed="false">
      <c r="A23" s="0" t="s">
        <v>164</v>
      </c>
      <c r="B23" s="15" t="s">
        <v>165</v>
      </c>
    </row>
    <row r="24" customFormat="false" ht="15" hidden="false" customHeight="false" outlineLevel="0" collapsed="false">
      <c r="A24" s="0" t="s">
        <v>166</v>
      </c>
      <c r="B24" s="15" t="s">
        <v>167</v>
      </c>
    </row>
    <row r="25" customFormat="false" ht="15" hidden="false" customHeight="false" outlineLevel="0" collapsed="false">
      <c r="A25" s="0" t="s">
        <v>15</v>
      </c>
      <c r="B25" s="15" t="s">
        <v>168</v>
      </c>
    </row>
    <row r="26" customFormat="false" ht="15" hidden="false" customHeight="false" outlineLevel="0" collapsed="false">
      <c r="A26" s="0" t="s">
        <v>169</v>
      </c>
      <c r="B26" s="15" t="s">
        <v>170</v>
      </c>
    </row>
    <row r="27" customFormat="false" ht="15" hidden="false" customHeight="false" outlineLevel="0" collapsed="false">
      <c r="A27" s="0" t="s">
        <v>171</v>
      </c>
      <c r="B27" s="15" t="s">
        <v>154</v>
      </c>
    </row>
    <row r="29" customFormat="false" ht="15" hidden="false" customHeight="false" outlineLevel="0" collapsed="false">
      <c r="A29" s="3" t="s">
        <v>52</v>
      </c>
    </row>
    <row r="31" customFormat="false" ht="15" hidden="false" customHeight="false" outlineLevel="0" collapsed="false">
      <c r="A31" s="0" t="s">
        <v>172</v>
      </c>
      <c r="B31" s="15" t="s">
        <v>173</v>
      </c>
    </row>
    <row r="32" customFormat="false" ht="15" hidden="false" customHeight="false" outlineLevel="0" collapsed="false">
      <c r="A32" s="0" t="s">
        <v>174</v>
      </c>
      <c r="B32" s="15" t="s">
        <v>175</v>
      </c>
    </row>
    <row r="33" customFormat="false" ht="15" hidden="false" customHeight="false" outlineLevel="0" collapsed="false">
      <c r="A33" s="0" t="s">
        <v>176</v>
      </c>
      <c r="B33" s="15" t="s">
        <v>177</v>
      </c>
    </row>
    <row r="34" customFormat="false" ht="15" hidden="false" customHeight="false" outlineLevel="0" collapsed="false">
      <c r="A34" s="0" t="s">
        <v>178</v>
      </c>
      <c r="B34" s="15" t="s">
        <v>179</v>
      </c>
    </row>
    <row r="35" customFormat="false" ht="15" hidden="false" customHeight="false" outlineLevel="0" collapsed="false">
      <c r="A35" s="0" t="s">
        <v>180</v>
      </c>
      <c r="B35" s="15" t="s">
        <v>181</v>
      </c>
    </row>
    <row r="36" customFormat="false" ht="15" hidden="false" customHeight="false" outlineLevel="0" collapsed="false">
      <c r="A36" s="0" t="s">
        <v>182</v>
      </c>
      <c r="B36" s="15" t="s">
        <v>183</v>
      </c>
    </row>
    <row r="38" customFormat="false" ht="15" hidden="false" customHeight="false" outlineLevel="0" collapsed="false">
      <c r="A38" s="3" t="s">
        <v>184</v>
      </c>
    </row>
    <row r="40" customFormat="false" ht="15" hidden="false" customHeight="false" outlineLevel="0" collapsed="false">
      <c r="A40" s="0" t="s">
        <v>185</v>
      </c>
      <c r="B40" s="15" t="s">
        <v>186</v>
      </c>
    </row>
    <row r="41" customFormat="false" ht="15" hidden="false" customHeight="false" outlineLevel="0" collapsed="false">
      <c r="A41" s="0" t="s">
        <v>187</v>
      </c>
      <c r="B41" s="15" t="s">
        <v>188</v>
      </c>
    </row>
    <row r="42" customFormat="false" ht="15" hidden="false" customHeight="false" outlineLevel="0" collapsed="false">
      <c r="A42" s="0" t="s">
        <v>103</v>
      </c>
      <c r="B42" s="15" t="s">
        <v>189</v>
      </c>
    </row>
    <row r="43" customFormat="false" ht="15" hidden="false" customHeight="false" outlineLevel="0" collapsed="false">
      <c r="A43" s="0" t="s">
        <v>190</v>
      </c>
      <c r="B43" s="15" t="s">
        <v>191</v>
      </c>
    </row>
    <row r="45" customFormat="false" ht="15" hidden="false" customHeight="false" outlineLevel="0" collapsed="false">
      <c r="A45" s="3" t="s">
        <v>192</v>
      </c>
    </row>
    <row r="47" customFormat="false" ht="15" hidden="false" customHeight="false" outlineLevel="0" collapsed="false">
      <c r="A47" s="0" t="s">
        <v>193</v>
      </c>
      <c r="B47" s="15" t="s">
        <v>194</v>
      </c>
    </row>
    <row r="48" customFormat="false" ht="15" hidden="false" customHeight="false" outlineLevel="0" collapsed="false">
      <c r="A48" s="0" t="s">
        <v>195</v>
      </c>
      <c r="B48" s="15" t="s">
        <v>196</v>
      </c>
    </row>
    <row r="49" customFormat="false" ht="15" hidden="false" customHeight="false" outlineLevel="0" collapsed="false">
      <c r="A49" s="0" t="s">
        <v>197</v>
      </c>
      <c r="B49" s="15" t="s">
        <v>198</v>
      </c>
    </row>
    <row r="50" customFormat="false" ht="15" hidden="false" customHeight="false" outlineLevel="0" collapsed="false">
      <c r="A50" s="0" t="s">
        <v>199</v>
      </c>
      <c r="B50" s="15" t="s">
        <v>200</v>
      </c>
    </row>
    <row r="51" customFormat="false" ht="15" hidden="false" customHeight="false" outlineLevel="0" collapsed="false">
      <c r="A51" s="0" t="s">
        <v>201</v>
      </c>
      <c r="B51" s="15" t="s">
        <v>202</v>
      </c>
    </row>
    <row r="52" customFormat="false" ht="15" hidden="false" customHeight="false" outlineLevel="0" collapsed="false">
      <c r="A52" s="0" t="s">
        <v>203</v>
      </c>
      <c r="B52" s="15" t="s">
        <v>204</v>
      </c>
    </row>
    <row r="54" customFormat="false" ht="15" hidden="false" customHeight="false" outlineLevel="0" collapsed="false">
      <c r="A54" s="3" t="s">
        <v>205</v>
      </c>
    </row>
    <row r="56" customFormat="false" ht="15" hidden="false" customHeight="false" outlineLevel="0" collapsed="false">
      <c r="A56" s="0" t="s">
        <v>206</v>
      </c>
      <c r="B56" s="15" t="s">
        <v>207</v>
      </c>
    </row>
    <row r="57" customFormat="false" ht="15" hidden="false" customHeight="false" outlineLevel="0" collapsed="false">
      <c r="A57" s="0" t="s">
        <v>208</v>
      </c>
      <c r="B57" s="15" t="s">
        <v>209</v>
      </c>
    </row>
    <row r="58" customFormat="false" ht="15" hidden="false" customHeight="false" outlineLevel="0" collapsed="false">
      <c r="A58" s="0" t="s">
        <v>210</v>
      </c>
      <c r="B58" s="15" t="s">
        <v>211</v>
      </c>
    </row>
    <row r="59" customFormat="false" ht="15" hidden="false" customHeight="false" outlineLevel="0" collapsed="false">
      <c r="A59" s="0" t="s">
        <v>212</v>
      </c>
      <c r="B59" s="15" t="s">
        <v>213</v>
      </c>
    </row>
    <row r="61" customFormat="false" ht="15" hidden="false" customHeight="false" outlineLevel="0" collapsed="false">
      <c r="A61" s="3" t="s">
        <v>214</v>
      </c>
    </row>
    <row r="63" customFormat="false" ht="15" hidden="false" customHeight="false" outlineLevel="0" collapsed="false">
      <c r="A63" s="0" t="s">
        <v>215</v>
      </c>
      <c r="B63" s="15" t="s">
        <v>216</v>
      </c>
    </row>
    <row r="64" customFormat="false" ht="15" hidden="false" customHeight="false" outlineLevel="0" collapsed="false">
      <c r="A64" s="0" t="s">
        <v>217</v>
      </c>
      <c r="B64" s="15" t="s">
        <v>218</v>
      </c>
    </row>
    <row r="65" customFormat="false" ht="15" hidden="false" customHeight="false" outlineLevel="0" collapsed="false">
      <c r="A65" s="0" t="s">
        <v>219</v>
      </c>
      <c r="B65" s="15" t="s">
        <v>220</v>
      </c>
    </row>
    <row r="66" customFormat="false" ht="15" hidden="false" customHeight="false" outlineLevel="0" collapsed="false">
      <c r="A66" s="0" t="s">
        <v>221</v>
      </c>
      <c r="B66" s="15" t="s">
        <v>222</v>
      </c>
    </row>
    <row r="67" customFormat="false" ht="15" hidden="false" customHeight="false" outlineLevel="0" collapsed="false">
      <c r="A67" s="0" t="s">
        <v>223</v>
      </c>
      <c r="B67" s="15" t="s">
        <v>224</v>
      </c>
    </row>
    <row r="69" customFormat="false" ht="15" hidden="false" customHeight="false" outlineLevel="0" collapsed="false">
      <c r="A69" s="3" t="s">
        <v>225</v>
      </c>
    </row>
    <row r="70" customFormat="false" ht="23.85" hidden="false" customHeight="false" outlineLevel="0" collapsed="false">
      <c r="A70" s="32" t="s">
        <v>226</v>
      </c>
      <c r="B70" s="33" t="s">
        <v>227</v>
      </c>
    </row>
    <row r="71" customFormat="false" ht="46.25" hidden="false" customHeight="false" outlineLevel="0" collapsed="false">
      <c r="A71" s="32" t="s">
        <v>228</v>
      </c>
      <c r="B71" s="33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2026-02-28T03:29:02Z</dcterms:created>
  <dc:creator>openpyxl</dc:creator>
  <dc:description/>
  <dc:language>en-US</dc:language>
  <cp:lastModifiedBy/>
  <dcterms:modified xsi:type="dcterms:W3CDTF">2026-02-28T03:29:02Z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