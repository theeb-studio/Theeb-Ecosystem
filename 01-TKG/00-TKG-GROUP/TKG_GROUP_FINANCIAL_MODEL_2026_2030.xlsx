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araqa (TKG-01)" sheetId="2" state="visible" r:id="rId2"/>
    <sheet xmlns:r="http://schemas.openxmlformats.org/officeDocument/2006/relationships" name="Nama CRO (TKG-02)" sheetId="3" state="visible" r:id="rId3"/>
    <sheet xmlns:r="http://schemas.openxmlformats.org/officeDocument/2006/relationships" name="Nama Academy (TKG-03)" sheetId="4" state="visible" r:id="rId4"/>
    <sheet xmlns:r="http://schemas.openxmlformats.org/officeDocument/2006/relationships" name="Nama Bio (TKG-04)" sheetId="5" state="visible" r:id="rId5"/>
    <sheet xmlns:r="http://schemas.openxmlformats.org/officeDocument/2006/relationships" name="Saudi Evidence (TKG-05)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10"/>
    </font>
    <font>
      <name val="Arial"/>
      <color rgb="00FF0000"/>
      <sz val="10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1E3A5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2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6" fillId="0" borderId="1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F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TKG - THEEB KNOWLEDGE GROUP</t>
        </is>
      </c>
    </row>
    <row r="2">
      <c r="A2" s="2" t="inlineStr">
        <is>
          <t>Consolidated 5-Year Financial Model (SAR Thousands) - Conservative</t>
        </is>
      </c>
    </row>
    <row r="4">
      <c r="A4" s="3" t="inlineStr">
        <is>
          <t>Metric</t>
        </is>
      </c>
      <c r="B4" s="3" t="inlineStr">
        <is>
          <t>2026</t>
        </is>
      </c>
      <c r="C4" s="3" t="inlineStr">
        <is>
          <t>2027</t>
        </is>
      </c>
      <c r="D4" s="3" t="inlineStr">
        <is>
          <t>2028</t>
        </is>
      </c>
      <c r="E4" s="3" t="inlineStr">
        <is>
          <t>2029</t>
        </is>
      </c>
      <c r="F4" s="3" t="inlineStr">
        <is>
          <t>2030</t>
        </is>
      </c>
    </row>
    <row r="5">
      <c r="A5" s="4" t="inlineStr">
        <is>
          <t>REVENUE BY ENTITY</t>
        </is>
      </c>
      <c r="B5" s="4" t="n"/>
      <c r="C5" s="4" t="n"/>
      <c r="D5" s="4" t="n"/>
      <c r="E5" s="4" t="n"/>
      <c r="F5" s="4" t="n"/>
    </row>
    <row r="6">
      <c r="A6" s="5" t="inlineStr">
        <is>
          <t>Waraqa (TKG-01)</t>
        </is>
      </c>
      <c r="B6" s="6">
        <f>'Waraqa (TKG-01)'!B12</f>
        <v/>
      </c>
      <c r="C6" s="6">
        <f>'Waraqa (TKG-01)'!C12</f>
        <v/>
      </c>
      <c r="D6" s="6">
        <f>'Waraqa (TKG-01)'!D12</f>
        <v/>
      </c>
      <c r="E6" s="6">
        <f>'Waraqa (TKG-01)'!E12</f>
        <v/>
      </c>
      <c r="F6" s="6">
        <f>'Waraqa (TKG-01)'!F12</f>
        <v/>
      </c>
    </row>
    <row r="7">
      <c r="A7" s="5" t="inlineStr">
        <is>
          <t>Nama CRO (TKG-02)</t>
        </is>
      </c>
      <c r="B7" s="6">
        <f>'Nama CRO (TKG-02)'!B10</f>
        <v/>
      </c>
      <c r="C7" s="6">
        <f>'Nama CRO (TKG-02)'!C10</f>
        <v/>
      </c>
      <c r="D7" s="6">
        <f>'Nama CRO (TKG-02)'!D10</f>
        <v/>
      </c>
      <c r="E7" s="6">
        <f>'Nama CRO (TKG-02)'!E10</f>
        <v/>
      </c>
      <c r="F7" s="6">
        <f>'Nama CRO (TKG-02)'!F10</f>
        <v/>
      </c>
    </row>
    <row r="8">
      <c r="A8" s="5" t="inlineStr">
        <is>
          <t>Nama Academy (TKG-03)</t>
        </is>
      </c>
      <c r="B8" s="6">
        <f>'Nama Academy (TKG-03)'!B10</f>
        <v/>
      </c>
      <c r="C8" s="6">
        <f>'Nama Academy (TKG-03)'!C10</f>
        <v/>
      </c>
      <c r="D8" s="6">
        <f>'Nama Academy (TKG-03)'!D10</f>
        <v/>
      </c>
      <c r="E8" s="6">
        <f>'Nama Academy (TKG-03)'!E10</f>
        <v/>
      </c>
      <c r="F8" s="6">
        <f>'Nama Academy (TKG-03)'!F10</f>
        <v/>
      </c>
    </row>
    <row r="9">
      <c r="A9" s="5" t="inlineStr">
        <is>
          <t>Nama Bio (TKG-04)</t>
        </is>
      </c>
      <c r="B9" s="6">
        <f>'Nama Bio (TKG-04)'!B5</f>
        <v/>
      </c>
      <c r="C9" s="6">
        <f>'Nama Bio (TKG-04)'!C5</f>
        <v/>
      </c>
      <c r="D9" s="6">
        <f>'Nama Bio (TKG-04)'!D5</f>
        <v/>
      </c>
      <c r="E9" s="6">
        <f>'Nama Bio (TKG-04)'!E5</f>
        <v/>
      </c>
      <c r="F9" s="6">
        <f>'Nama Bio (TKG-04)'!F5</f>
        <v/>
      </c>
    </row>
    <row r="10">
      <c r="A10" s="5" t="inlineStr">
        <is>
          <t>Saudi Evidence (TKG-05)</t>
        </is>
      </c>
      <c r="B10" s="6">
        <f>'Saudi Evidence (TKG-05)'!B8</f>
        <v/>
      </c>
      <c r="C10" s="6">
        <f>'Saudi Evidence (TKG-05)'!C8</f>
        <v/>
      </c>
      <c r="D10" s="6">
        <f>'Saudi Evidence (TKG-05)'!D8</f>
        <v/>
      </c>
      <c r="E10" s="6">
        <f>'Saudi Evidence (TKG-05)'!E8</f>
        <v/>
      </c>
      <c r="F10" s="6">
        <f>'Saudi Evidence (TKG-05)'!F8</f>
        <v/>
      </c>
    </row>
    <row r="11">
      <c r="A11" s="7" t="inlineStr">
        <is>
          <t>TOTAL TKG REVENUE</t>
        </is>
      </c>
      <c r="B11" s="8">
        <f>SUM(B6:B10)</f>
        <v/>
      </c>
      <c r="C11" s="8">
        <f>SUM(C6:C10)</f>
        <v/>
      </c>
      <c r="D11" s="8">
        <f>SUM(D6:D10)</f>
        <v/>
      </c>
      <c r="E11" s="8">
        <f>SUM(E6:E10)</f>
        <v/>
      </c>
      <c r="F11" s="8">
        <f>SUM(F6:F10)</f>
        <v/>
      </c>
    </row>
    <row r="13">
      <c r="A13" s="4" t="inlineStr">
        <is>
          <t>EBITDA BY ENTITY</t>
        </is>
      </c>
      <c r="B13" s="4" t="n"/>
      <c r="C13" s="4" t="n"/>
      <c r="D13" s="4" t="n"/>
      <c r="E13" s="4" t="n"/>
      <c r="F13" s="4" t="n"/>
    </row>
    <row r="14">
      <c r="A14" s="5" t="inlineStr">
        <is>
          <t>Waraqa (TKG-01)</t>
        </is>
      </c>
      <c r="B14" s="6">
        <f>'Waraqa (TKG-01)'!B17</f>
        <v/>
      </c>
      <c r="C14" s="6">
        <f>'Waraqa (TKG-01)'!C17</f>
        <v/>
      </c>
      <c r="D14" s="6">
        <f>'Waraqa (TKG-01)'!D17</f>
        <v/>
      </c>
      <c r="E14" s="6">
        <f>'Waraqa (TKG-01)'!E17</f>
        <v/>
      </c>
      <c r="F14" s="6">
        <f>'Waraqa (TKG-01)'!F17</f>
        <v/>
      </c>
    </row>
    <row r="15">
      <c r="A15" s="5" t="inlineStr">
        <is>
          <t>Nama CRO (TKG-02)</t>
        </is>
      </c>
      <c r="B15" s="6">
        <f>'Nama CRO (TKG-02)'!B15</f>
        <v/>
      </c>
      <c r="C15" s="6">
        <f>'Nama CRO (TKG-02)'!C15</f>
        <v/>
      </c>
      <c r="D15" s="6">
        <f>'Nama CRO (TKG-02)'!D15</f>
        <v/>
      </c>
      <c r="E15" s="6">
        <f>'Nama CRO (TKG-02)'!E15</f>
        <v/>
      </c>
      <c r="F15" s="6">
        <f>'Nama CRO (TKG-02)'!F15</f>
        <v/>
      </c>
    </row>
    <row r="16">
      <c r="A16" s="5" t="inlineStr">
        <is>
          <t>Nama Academy (TKG-03)</t>
        </is>
      </c>
      <c r="B16" s="6">
        <f>'Nama Academy (TKG-03)'!B15</f>
        <v/>
      </c>
      <c r="C16" s="6">
        <f>'Nama Academy (TKG-03)'!C15</f>
        <v/>
      </c>
      <c r="D16" s="6">
        <f>'Nama Academy (TKG-03)'!D15</f>
        <v/>
      </c>
      <c r="E16" s="6">
        <f>'Nama Academy (TKG-03)'!E15</f>
        <v/>
      </c>
      <c r="F16" s="6">
        <f>'Nama Academy (TKG-03)'!F15</f>
        <v/>
      </c>
    </row>
    <row r="17">
      <c r="A17" s="5" t="inlineStr">
        <is>
          <t>Nama Bio (TKG-04)</t>
        </is>
      </c>
      <c r="B17" s="6">
        <f>'Nama Bio (TKG-04)'!B10</f>
        <v/>
      </c>
      <c r="C17" s="6">
        <f>'Nama Bio (TKG-04)'!C10</f>
        <v/>
      </c>
      <c r="D17" s="6">
        <f>'Nama Bio (TKG-04)'!D10</f>
        <v/>
      </c>
      <c r="E17" s="6">
        <f>'Nama Bio (TKG-04)'!E10</f>
        <v/>
      </c>
      <c r="F17" s="6">
        <f>'Nama Bio (TKG-04)'!F10</f>
        <v/>
      </c>
    </row>
    <row r="18">
      <c r="A18" s="5" t="inlineStr">
        <is>
          <t>Saudi Evidence (TKG-05)</t>
        </is>
      </c>
      <c r="B18" s="6">
        <f>'Saudi Evidence (TKG-05)'!B13</f>
        <v/>
      </c>
      <c r="C18" s="6">
        <f>'Saudi Evidence (TKG-05)'!C13</f>
        <v/>
      </c>
      <c r="D18" s="6">
        <f>'Saudi Evidence (TKG-05)'!D13</f>
        <v/>
      </c>
      <c r="E18" s="6">
        <f>'Saudi Evidence (TKG-05)'!E13</f>
        <v/>
      </c>
      <c r="F18" s="6">
        <f>'Saudi Evidence (TKG-05)'!F13</f>
        <v/>
      </c>
    </row>
    <row r="19">
      <c r="A19" s="7" t="inlineStr">
        <is>
          <t>TOTAL TKG EBITDA</t>
        </is>
      </c>
      <c r="B19" s="8">
        <f>SUM(B14:B18)</f>
        <v/>
      </c>
      <c r="C19" s="8">
        <f>SUM(C14:C18)</f>
        <v/>
      </c>
      <c r="D19" s="8">
        <f>SUM(D14:D18)</f>
        <v/>
      </c>
      <c r="E19" s="8">
        <f>SUM(E14:E18)</f>
        <v/>
      </c>
      <c r="F19" s="8">
        <f>SUM(F14:F18)</f>
        <v/>
      </c>
    </row>
    <row r="20">
      <c r="A20" s="9" t="inlineStr">
        <is>
          <t>TKG EBITDA Margin %</t>
        </is>
      </c>
      <c r="B20" s="10">
        <f>IF(B11=0,0,B19/B11)</f>
        <v/>
      </c>
      <c r="C20" s="10">
        <f>IF(C11=0,0,C19/C11)</f>
        <v/>
      </c>
      <c r="D20" s="10">
        <f>IF(D11=0,0,D19/D11)</f>
        <v/>
      </c>
      <c r="E20" s="10">
        <f>IF(E11=0,0,E19/E11)</f>
        <v/>
      </c>
      <c r="F20" s="10">
        <f>IF(F11=0,0,F19/F11)</f>
        <v/>
      </c>
    </row>
    <row r="22">
      <c r="A22" s="4" t="inlineStr">
        <is>
          <t>HEADCOUNT BY ENTITY</t>
        </is>
      </c>
      <c r="B22" s="4" t="n"/>
      <c r="C22" s="4" t="n"/>
      <c r="D22" s="4" t="n"/>
      <c r="E22" s="4" t="n"/>
      <c r="F22" s="4" t="n"/>
    </row>
    <row r="23">
      <c r="A23" s="5" t="inlineStr">
        <is>
          <t>Waraqa</t>
        </is>
      </c>
      <c r="B23" s="6">
        <f>'Waraqa (TKG-01)'!B19</f>
        <v/>
      </c>
      <c r="C23" s="6">
        <f>'Waraqa (TKG-01)'!C19</f>
        <v/>
      </c>
      <c r="D23" s="6">
        <f>'Waraqa (TKG-01)'!D19</f>
        <v/>
      </c>
      <c r="E23" s="6">
        <f>'Waraqa (TKG-01)'!E19</f>
        <v/>
      </c>
      <c r="F23" s="6">
        <f>'Waraqa (TKG-01)'!F19</f>
        <v/>
      </c>
    </row>
    <row r="24">
      <c r="A24" s="5" t="inlineStr">
        <is>
          <t>Nama CRO</t>
        </is>
      </c>
      <c r="B24" s="6">
        <f>'Nama CRO (TKG-02)'!B17</f>
        <v/>
      </c>
      <c r="C24" s="6">
        <f>'Nama CRO (TKG-02)'!C17</f>
        <v/>
      </c>
      <c r="D24" s="6">
        <f>'Nama CRO (TKG-02)'!D17</f>
        <v/>
      </c>
      <c r="E24" s="6">
        <f>'Nama CRO (TKG-02)'!E17</f>
        <v/>
      </c>
      <c r="F24" s="6">
        <f>'Nama CRO (TKG-02)'!F17</f>
        <v/>
      </c>
    </row>
    <row r="25">
      <c r="A25" s="5" t="inlineStr">
        <is>
          <t>Nama Academy</t>
        </is>
      </c>
      <c r="B25" s="6">
        <f>'Nama Academy (TKG-03)'!B17</f>
        <v/>
      </c>
      <c r="C25" s="6">
        <f>'Nama Academy (TKG-03)'!C17</f>
        <v/>
      </c>
      <c r="D25" s="6">
        <f>'Nama Academy (TKG-03)'!D17</f>
        <v/>
      </c>
      <c r="E25" s="6">
        <f>'Nama Academy (TKG-03)'!E17</f>
        <v/>
      </c>
      <c r="F25" s="6">
        <f>'Nama Academy (TKG-03)'!F17</f>
        <v/>
      </c>
    </row>
    <row r="26">
      <c r="A26" s="5" t="inlineStr">
        <is>
          <t>Nama Bio</t>
        </is>
      </c>
      <c r="B26" s="6">
        <f>'Nama Bio (TKG-04)'!B12</f>
        <v/>
      </c>
      <c r="C26" s="6">
        <f>'Nama Bio (TKG-04)'!C12</f>
        <v/>
      </c>
      <c r="D26" s="6">
        <f>'Nama Bio (TKG-04)'!D12</f>
        <v/>
      </c>
      <c r="E26" s="6">
        <f>'Nama Bio (TKG-04)'!E12</f>
        <v/>
      </c>
      <c r="F26" s="6">
        <f>'Nama Bio (TKG-04)'!F12</f>
        <v/>
      </c>
    </row>
    <row r="27">
      <c r="A27" s="5" t="inlineStr">
        <is>
          <t>Saudi Evidence</t>
        </is>
      </c>
      <c r="B27" s="6">
        <f>'Saudi Evidence (TKG-05)'!B15</f>
        <v/>
      </c>
      <c r="C27" s="6">
        <f>'Saudi Evidence (TKG-05)'!C15</f>
        <v/>
      </c>
      <c r="D27" s="6">
        <f>'Saudi Evidence (TKG-05)'!D15</f>
        <v/>
      </c>
      <c r="E27" s="6">
        <f>'Saudi Evidence (TKG-05)'!E15</f>
        <v/>
      </c>
      <c r="F27" s="6">
        <f>'Saudi Evidence (TKG-05)'!F15</f>
        <v/>
      </c>
    </row>
    <row r="28">
      <c r="A28" s="7" t="inlineStr">
        <is>
          <t>TOTAL TKG HEADCOUNT</t>
        </is>
      </c>
      <c r="B28" s="8">
        <f>SUM(B23:B27)</f>
        <v/>
      </c>
      <c r="C28" s="8">
        <f>SUM(C23:C27)</f>
        <v/>
      </c>
      <c r="D28" s="8">
        <f>SUM(D23:D27)</f>
        <v/>
      </c>
      <c r="E28" s="8">
        <f>SUM(E23:E27)</f>
        <v/>
      </c>
      <c r="F28" s="8">
        <f>SUM(F23:F27)</f>
        <v/>
      </c>
    </row>
    <row r="30">
      <c r="A30" s="4" t="inlineStr">
        <is>
          <t>CAPITAL REQUIREMENTS (SAR '000)</t>
        </is>
      </c>
      <c r="B30" s="4" t="n"/>
      <c r="C30" s="4" t="n"/>
      <c r="D30" s="4" t="n"/>
      <c r="E30" s="4" t="n"/>
      <c r="F30" s="4" t="n"/>
    </row>
    <row r="31">
      <c r="A31" s="11" t="inlineStr">
        <is>
          <t>Nama CRO (Alfaisaliah)</t>
        </is>
      </c>
      <c r="B31" s="12" t="n">
        <v>9375</v>
      </c>
      <c r="C31" s="12" t="n">
        <v>7500</v>
      </c>
      <c r="D31" s="12" t="n">
        <v>1875</v>
      </c>
      <c r="E31" s="12" t="n">
        <v>0</v>
      </c>
      <c r="F31" s="12" t="n">
        <v>0</v>
      </c>
    </row>
    <row r="32">
      <c r="A32" s="11" t="inlineStr">
        <is>
          <t>Nama Bio (Grant+Equity)</t>
        </is>
      </c>
      <c r="B32" s="12" t="n">
        <v>6206</v>
      </c>
      <c r="C32" s="12" t="n">
        <v>1400</v>
      </c>
      <c r="D32" s="12" t="n">
        <v>1150</v>
      </c>
      <c r="E32" s="12" t="n">
        <v>0</v>
      </c>
      <c r="F32" s="12" t="n">
        <v>0</v>
      </c>
    </row>
    <row r="33">
      <c r="A33" s="11" t="inlineStr">
        <is>
          <t>Saudi Evidence (Grants)</t>
        </is>
      </c>
      <c r="B33" s="12" t="n">
        <v>3000</v>
      </c>
      <c r="C33" s="12" t="n">
        <v>4000</v>
      </c>
      <c r="D33" s="12" t="n">
        <v>3000</v>
      </c>
      <c r="E33" s="12" t="n">
        <v>0</v>
      </c>
      <c r="F33" s="12" t="n">
        <v>0</v>
      </c>
    </row>
    <row r="34">
      <c r="A34" s="11" t="inlineStr">
        <is>
          <t>Waraqa (Self-funded)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</row>
    <row r="35">
      <c r="A35" s="11" t="inlineStr">
        <is>
          <t>Nama Academy (Waraqa)</t>
        </is>
      </c>
      <c r="B35" s="12" t="n">
        <v>400</v>
      </c>
      <c r="C35" s="12" t="n">
        <v>400</v>
      </c>
      <c r="D35" s="12" t="n">
        <v>500</v>
      </c>
      <c r="E35" s="12" t="n">
        <v>500</v>
      </c>
      <c r="F35" s="12" t="n">
        <v>500</v>
      </c>
    </row>
    <row r="36">
      <c r="A36" s="7" t="inlineStr">
        <is>
          <t>TOTAL CAPITAL REQUIRED</t>
        </is>
      </c>
      <c r="B36" s="8">
        <f>SUM(B31:B35)</f>
        <v/>
      </c>
      <c r="C36" s="8">
        <f>SUM(C31:C35)</f>
        <v/>
      </c>
      <c r="D36" s="8">
        <f>SUM(D31:D35)</f>
        <v/>
      </c>
      <c r="E36" s="8">
        <f>SUM(E31:E35)</f>
        <v/>
      </c>
      <c r="F36" s="8">
        <f>SUM(F31:F35)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Waraqa Publishing (TKG-01) - SAR '000</t>
        </is>
      </c>
      <c r="B1" s="3" t="inlineStr">
        <is>
          <t>2026</t>
        </is>
      </c>
      <c r="C1" s="3" t="inlineStr">
        <is>
          <t>2027</t>
        </is>
      </c>
      <c r="D1" s="3" t="inlineStr">
        <is>
          <t>2028</t>
        </is>
      </c>
      <c r="E1" s="3" t="inlineStr">
        <is>
          <t>2029</t>
        </is>
      </c>
      <c r="F1" s="3" t="inlineStr">
        <is>
          <t>2030</t>
        </is>
      </c>
    </row>
    <row r="2">
      <c r="A2" s="4" t="inlineStr">
        <is>
          <t>REVENUE STREAMS</t>
        </is>
      </c>
      <c r="B2" s="4" t="n"/>
      <c r="C2" s="4" t="n"/>
      <c r="D2" s="4" t="n"/>
      <c r="E2" s="4" t="n"/>
      <c r="F2" s="4" t="n"/>
    </row>
    <row r="3">
      <c r="A3" s="11" t="inlineStr">
        <is>
          <t>1. Society Journal Publishing</t>
        </is>
      </c>
      <c r="B3" s="12" t="n">
        <v>234</v>
      </c>
      <c r="C3" s="12" t="n">
        <v>860</v>
      </c>
      <c r="D3" s="12" t="n">
        <v>3600</v>
      </c>
      <c r="E3" s="12" t="n">
        <v>5400</v>
      </c>
      <c r="F3" s="12" t="n">
        <v>7200</v>
      </c>
    </row>
    <row r="4">
      <c r="A4" s="11" t="inlineStr">
        <is>
          <t>2. University Preprint Platform</t>
        </is>
      </c>
      <c r="B4" s="12" t="n">
        <v>24</v>
      </c>
      <c r="C4" s="12" t="n">
        <v>200</v>
      </c>
      <c r="D4" s="12" t="n">
        <v>1500</v>
      </c>
      <c r="E4" s="12" t="n">
        <v>2500</v>
      </c>
      <c r="F4" s="12" t="n">
        <v>3500</v>
      </c>
    </row>
    <row r="5">
      <c r="A5" s="11" t="inlineStr">
        <is>
          <t>3. Funded Journal Operations</t>
        </is>
      </c>
      <c r="B5" s="12" t="n">
        <v>360</v>
      </c>
      <c r="C5" s="12" t="n">
        <v>480</v>
      </c>
      <c r="D5" s="12" t="n">
        <v>650</v>
      </c>
      <c r="E5" s="12" t="n">
        <v>700</v>
      </c>
      <c r="F5" s="12" t="n">
        <v>750</v>
      </c>
    </row>
    <row r="6">
      <c r="A6" s="11" t="inlineStr">
        <is>
          <t>4. Research Integrity Services</t>
        </is>
      </c>
      <c r="B6" s="12" t="n">
        <v>360</v>
      </c>
      <c r="C6" s="12" t="n">
        <v>800</v>
      </c>
      <c r="D6" s="12" t="n">
        <v>1800</v>
      </c>
      <c r="E6" s="12" t="n">
        <v>2700</v>
      </c>
      <c r="F6" s="12" t="n">
        <v>3500</v>
      </c>
    </row>
    <row r="7">
      <c r="A7" s="11" t="inlineStr">
        <is>
          <t>5. Conference Proceedings</t>
        </is>
      </c>
      <c r="B7" s="12" t="n">
        <v>240</v>
      </c>
      <c r="C7" s="12" t="n">
        <v>500</v>
      </c>
      <c r="D7" s="12" t="n">
        <v>1200</v>
      </c>
      <c r="E7" s="12" t="n">
        <v>1800</v>
      </c>
      <c r="F7" s="12" t="n">
        <v>2400</v>
      </c>
    </row>
    <row r="8">
      <c r="A8" s="11" t="inlineStr">
        <is>
          <t>6. Ecosystem Cross-Group Revenue</t>
        </is>
      </c>
      <c r="B8" s="12" t="n">
        <v>100</v>
      </c>
      <c r="C8" s="12" t="n">
        <v>300</v>
      </c>
      <c r="D8" s="12" t="n">
        <v>700</v>
      </c>
      <c r="E8" s="12" t="n">
        <v>1000</v>
      </c>
      <c r="F8" s="12" t="n">
        <v>1500</v>
      </c>
    </row>
    <row r="9">
      <c r="A9" s="11" t="inlineStr">
        <is>
          <t>7. AI Content Licensing</t>
        </is>
      </c>
      <c r="B9" s="12" t="n">
        <v>0</v>
      </c>
      <c r="C9" s="12" t="n">
        <v>500</v>
      </c>
      <c r="D9" s="12" t="n">
        <v>2000</v>
      </c>
      <c r="E9" s="12" t="n">
        <v>4000</v>
      </c>
      <c r="F9" s="12" t="n">
        <v>7000</v>
      </c>
    </row>
    <row r="10">
      <c r="A10" s="11" t="inlineStr">
        <is>
          <t>8. PubHelper Service Revenue</t>
        </is>
      </c>
      <c r="B10" s="12" t="n">
        <v>400</v>
      </c>
      <c r="C10" s="12" t="n">
        <v>800</v>
      </c>
      <c r="D10" s="12" t="n">
        <v>1500</v>
      </c>
      <c r="E10" s="12" t="n">
        <v>2500</v>
      </c>
      <c r="F10" s="12" t="n">
        <v>3500</v>
      </c>
    </row>
    <row r="11">
      <c r="A11" s="11" t="inlineStr">
        <is>
          <t>9. Physician Reputation Platform</t>
        </is>
      </c>
      <c r="B11" s="12" t="n">
        <v>200</v>
      </c>
      <c r="C11" s="12" t="n">
        <v>1200</v>
      </c>
      <c r="D11" s="12" t="n">
        <v>3000</v>
      </c>
      <c r="E11" s="12" t="n">
        <v>5000</v>
      </c>
      <c r="F11" s="12" t="n">
        <v>7000</v>
      </c>
    </row>
    <row r="12">
      <c r="A12" s="7" t="inlineStr">
        <is>
          <t>TOTAL REVENUE</t>
        </is>
      </c>
      <c r="B12" s="8">
        <f>SUM(B3:B11)</f>
        <v/>
      </c>
      <c r="C12" s="8">
        <f>SUM(C3:C11)</f>
        <v/>
      </c>
      <c r="D12" s="8">
        <f>SUM(D3:D11)</f>
        <v/>
      </c>
      <c r="E12" s="8">
        <f>SUM(E3:E11)</f>
        <v/>
      </c>
      <c r="F12" s="8">
        <f>SUM(F3:F11)</f>
        <v/>
      </c>
    </row>
    <row r="13">
      <c r="A13" s="4" t="inlineStr">
        <is>
          <t>COST STRUCTURE</t>
        </is>
      </c>
      <c r="B13" s="4" t="n"/>
      <c r="C13" s="4" t="n"/>
      <c r="D13" s="4" t="n"/>
      <c r="E13" s="4" t="n"/>
      <c r="F13" s="4" t="n"/>
    </row>
    <row r="14">
      <c r="A14" s="11" t="inlineStr">
        <is>
          <t>COGS</t>
        </is>
      </c>
      <c r="B14" s="12" t="n">
        <v>800</v>
      </c>
      <c r="C14" s="12" t="n">
        <v>1500</v>
      </c>
      <c r="D14" s="12" t="n">
        <v>3500</v>
      </c>
      <c r="E14" s="12" t="n">
        <v>5500</v>
      </c>
      <c r="F14" s="12" t="n">
        <v>7500</v>
      </c>
    </row>
    <row r="15">
      <c r="A15" s="11" t="inlineStr">
        <is>
          <t>G&amp;A</t>
        </is>
      </c>
      <c r="B15" s="12" t="n">
        <v>600</v>
      </c>
      <c r="C15" s="12" t="n">
        <v>800</v>
      </c>
      <c r="D15" s="12" t="n">
        <v>1200</v>
      </c>
      <c r="E15" s="12" t="n">
        <v>1500</v>
      </c>
      <c r="F15" s="12" t="n">
        <v>1800</v>
      </c>
    </row>
    <row r="16">
      <c r="A16" s="11" t="inlineStr">
        <is>
          <t>S&amp;M</t>
        </is>
      </c>
      <c r="B16" s="12" t="n">
        <v>200</v>
      </c>
      <c r="C16" s="12" t="n">
        <v>350</v>
      </c>
      <c r="D16" s="12" t="n">
        <v>500</v>
      </c>
      <c r="E16" s="12" t="n">
        <v>700</v>
      </c>
      <c r="F16" s="12" t="n">
        <v>900</v>
      </c>
    </row>
    <row r="17">
      <c r="A17" s="7" t="inlineStr">
        <is>
          <t>EBITDA</t>
        </is>
      </c>
      <c r="B17" s="8">
        <f>B12-B14-B15-B16</f>
        <v/>
      </c>
      <c r="C17" s="8">
        <f>C12-C14-C15-C16</f>
        <v/>
      </c>
      <c r="D17" s="8">
        <f>D12-D14-D15-D16</f>
        <v/>
      </c>
      <c r="E17" s="8">
        <f>E12-E14-E15-E16</f>
        <v/>
      </c>
      <c r="F17" s="8">
        <f>F12-F14-F15-F16</f>
        <v/>
      </c>
    </row>
    <row r="18">
      <c r="A18" s="9" t="inlineStr">
        <is>
          <t>EBITDA Margin %</t>
        </is>
      </c>
      <c r="B18" s="10">
        <f>IF(B12=0,0,B17/B12)</f>
        <v/>
      </c>
      <c r="C18" s="10">
        <f>IF(C12=0,0,C17/C12)</f>
        <v/>
      </c>
      <c r="D18" s="10">
        <f>IF(D12=0,0,D17/D12)</f>
        <v/>
      </c>
      <c r="E18" s="10">
        <f>IF(E12=0,0,E17/E12)</f>
        <v/>
      </c>
      <c r="F18" s="10">
        <f>IF(F12=0,0,F17/F12)</f>
        <v/>
      </c>
    </row>
    <row r="19">
      <c r="A19" s="11" t="inlineStr">
        <is>
          <t>Headcount</t>
        </is>
      </c>
      <c r="B19" s="12" t="n">
        <v>8</v>
      </c>
      <c r="C19" s="12" t="n">
        <v>15</v>
      </c>
      <c r="D19" s="12" t="n">
        <v>25</v>
      </c>
      <c r="E19" s="12" t="n">
        <v>35</v>
      </c>
      <c r="F19" s="12" t="n">
        <v>45</v>
      </c>
    </row>
    <row r="20">
      <c r="A20" s="13" t="inlineStr">
        <is>
          <t>Nama Academy Allocation</t>
        </is>
      </c>
      <c r="B20" s="14" t="n">
        <v>-400</v>
      </c>
      <c r="C20" s="14" t="n">
        <v>-400</v>
      </c>
      <c r="D20" s="14" t="n">
        <v>-500</v>
      </c>
      <c r="E20" s="14" t="n">
        <v>-500</v>
      </c>
      <c r="F20" s="14" t="n">
        <v>-500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Nama CRO / Medical (TKG-02) - SAR '000</t>
        </is>
      </c>
      <c r="B1" s="3" t="inlineStr">
        <is>
          <t>2026</t>
        </is>
      </c>
      <c r="C1" s="3" t="inlineStr">
        <is>
          <t>2027</t>
        </is>
      </c>
      <c r="D1" s="3" t="inlineStr">
        <is>
          <t>2028</t>
        </is>
      </c>
      <c r="E1" s="3" t="inlineStr">
        <is>
          <t>2029</t>
        </is>
      </c>
      <c r="F1" s="3" t="inlineStr">
        <is>
          <t>2030</t>
        </is>
      </c>
    </row>
    <row r="2">
      <c r="A2" s="4" t="inlineStr">
        <is>
          <t>REVENUE STREAMS</t>
        </is>
      </c>
      <c r="B2" s="4" t="n"/>
      <c r="C2" s="4" t="n"/>
      <c r="D2" s="4" t="n"/>
      <c r="E2" s="4" t="n"/>
      <c r="F2" s="4" t="n"/>
    </row>
    <row r="3">
      <c r="A3" s="11" t="inlineStr">
        <is>
          <t>1. Interventional Trials (Phase I-IV)</t>
        </is>
      </c>
      <c r="B3" s="12" t="n">
        <v>1500</v>
      </c>
      <c r="C3" s="12" t="n">
        <v>4500</v>
      </c>
      <c r="D3" s="12" t="n">
        <v>9000</v>
      </c>
      <c r="E3" s="12" t="n">
        <v>15000</v>
      </c>
      <c r="F3" s="12" t="n">
        <v>22500</v>
      </c>
    </row>
    <row r="4">
      <c r="A4" s="11" t="inlineStr">
        <is>
          <t>2. RWE &amp; Observational Studies</t>
        </is>
      </c>
      <c r="B4" s="12" t="n">
        <v>750</v>
      </c>
      <c r="C4" s="12" t="n">
        <v>2250</v>
      </c>
      <c r="D4" s="12" t="n">
        <v>4500</v>
      </c>
      <c r="E4" s="12" t="n">
        <v>7500</v>
      </c>
      <c r="F4" s="12" t="n">
        <v>11250</v>
      </c>
    </row>
    <row r="5">
      <c r="A5" s="11" t="inlineStr">
        <is>
          <t>3. CTU Development Contracts</t>
        </is>
      </c>
      <c r="B5" s="12" t="n">
        <v>500</v>
      </c>
      <c r="C5" s="12" t="n">
        <v>1200</v>
      </c>
      <c r="D5" s="12" t="n">
        <v>2000</v>
      </c>
      <c r="E5" s="12" t="n">
        <v>3000</v>
      </c>
      <c r="F5" s="12" t="n">
        <v>4000</v>
      </c>
    </row>
    <row r="6">
      <c r="A6" s="11" t="inlineStr">
        <is>
          <t>4. SMO Services</t>
        </is>
      </c>
      <c r="B6" s="12" t="n">
        <v>375</v>
      </c>
      <c r="C6" s="12" t="n">
        <v>750</v>
      </c>
      <c r="D6" s="12" t="n">
        <v>1500</v>
      </c>
      <c r="E6" s="12" t="n">
        <v>2250</v>
      </c>
      <c r="F6" s="12" t="n">
        <v>3000</v>
      </c>
    </row>
    <row r="7">
      <c r="A7" s="11" t="inlineStr">
        <is>
          <t>5. Training &amp; Capability Building</t>
        </is>
      </c>
      <c r="B7" s="12" t="n">
        <v>200</v>
      </c>
      <c r="C7" s="12" t="n">
        <v>500</v>
      </c>
      <c r="D7" s="12" t="n">
        <v>1000</v>
      </c>
      <c r="E7" s="12" t="n">
        <v>1500</v>
      </c>
      <c r="F7" s="12" t="n">
        <v>2000</v>
      </c>
    </row>
    <row r="8">
      <c r="A8" s="11" t="inlineStr">
        <is>
          <t>6. Medical Writing (inter-company)</t>
        </is>
      </c>
      <c r="B8" s="12" t="n">
        <v>300</v>
      </c>
      <c r="C8" s="12" t="n">
        <v>450</v>
      </c>
      <c r="D8" s="12" t="n">
        <v>600</v>
      </c>
      <c r="E8" s="12" t="n">
        <v>750</v>
      </c>
      <c r="F8" s="12" t="n">
        <v>900</v>
      </c>
    </row>
    <row r="9">
      <c r="A9" s="7" t="inlineStr">
        <is>
          <t>TOTAL REVENUE</t>
        </is>
      </c>
      <c r="B9" s="8">
        <f>SUM(B3:B8)</f>
        <v/>
      </c>
      <c r="C9" s="8">
        <f>SUM(C3:C8)</f>
        <v/>
      </c>
      <c r="D9" s="8">
        <f>SUM(D3:D8)</f>
        <v/>
      </c>
      <c r="E9" s="8">
        <f>SUM(E3:E8)</f>
        <v/>
      </c>
      <c r="F9" s="8">
        <f>SUM(F3:F8)</f>
        <v/>
      </c>
    </row>
    <row r="10">
      <c r="A10" s="4" t="inlineStr">
        <is>
          <t>COST STRUCTURE</t>
        </is>
      </c>
      <c r="B10" s="4" t="n"/>
      <c r="C10" s="4" t="n"/>
      <c r="D10" s="4" t="n"/>
      <c r="E10" s="4" t="n"/>
      <c r="F10" s="4" t="n"/>
    </row>
    <row r="11">
      <c r="A11" s="11" t="inlineStr">
        <is>
          <t>COGS</t>
        </is>
      </c>
      <c r="B11" s="12" t="n">
        <v>2200</v>
      </c>
      <c r="C11" s="12" t="n">
        <v>5500</v>
      </c>
      <c r="D11" s="12" t="n">
        <v>10500</v>
      </c>
      <c r="E11" s="12" t="n">
        <v>16000</v>
      </c>
      <c r="F11" s="12" t="n">
        <v>22000</v>
      </c>
    </row>
    <row r="12">
      <c r="A12" s="11" t="inlineStr">
        <is>
          <t>G&amp;A</t>
        </is>
      </c>
      <c r="B12" s="12" t="n">
        <v>1200</v>
      </c>
      <c r="C12" s="12" t="n">
        <v>1500</v>
      </c>
      <c r="D12" s="12" t="n">
        <v>2000</v>
      </c>
      <c r="E12" s="12" t="n">
        <v>2500</v>
      </c>
      <c r="F12" s="12" t="n">
        <v>3000</v>
      </c>
    </row>
    <row r="13">
      <c r="A13" s="11" t="inlineStr">
        <is>
          <t>S&amp;M</t>
        </is>
      </c>
      <c r="B13" s="12" t="n">
        <v>300</v>
      </c>
      <c r="C13" s="12" t="n">
        <v>500</v>
      </c>
      <c r="D13" s="12" t="n">
        <v>800</v>
      </c>
      <c r="E13" s="12" t="n">
        <v>1000</v>
      </c>
      <c r="F13" s="12" t="n">
        <v>1200</v>
      </c>
    </row>
    <row r="14">
      <c r="A14" s="7" t="inlineStr">
        <is>
          <t>EBITDA</t>
        </is>
      </c>
      <c r="B14" s="8">
        <f>B9-B11-B12-B13</f>
        <v/>
      </c>
      <c r="C14" s="8">
        <f>C9-C11-C12-C13</f>
        <v/>
      </c>
      <c r="D14" s="8">
        <f>D9-D11-D12-D13</f>
        <v/>
      </c>
      <c r="E14" s="8">
        <f>E9-E11-E12-E13</f>
        <v/>
      </c>
      <c r="F14" s="8">
        <f>F9-F11-F12-F13</f>
        <v/>
      </c>
    </row>
    <row r="15">
      <c r="A15" s="9" t="inlineStr">
        <is>
          <t>EBITDA Margin %</t>
        </is>
      </c>
      <c r="B15" s="10">
        <f>IF(B9=0,0,B14/B9)</f>
        <v/>
      </c>
      <c r="C15" s="10">
        <f>IF(C9=0,0,C14/C9)</f>
        <v/>
      </c>
      <c r="D15" s="10">
        <f>IF(D9=0,0,D14/D9)</f>
        <v/>
      </c>
      <c r="E15" s="10">
        <f>IF(E9=0,0,E14/E9)</f>
        <v/>
      </c>
      <c r="F15" s="10">
        <f>IF(F9=0,0,F14/F9)</f>
        <v/>
      </c>
    </row>
    <row r="16">
      <c r="A16" s="11" t="inlineStr">
        <is>
          <t>Headcount</t>
        </is>
      </c>
      <c r="B16" s="12" t="n">
        <v>20</v>
      </c>
      <c r="C16" s="12" t="n">
        <v>35</v>
      </c>
      <c r="D16" s="12" t="n">
        <v>55</v>
      </c>
      <c r="E16" s="12" t="n">
        <v>80</v>
      </c>
      <c r="F16" s="12" t="n">
        <v>110</v>
      </c>
    </row>
    <row r="18">
      <c r="A18" s="4" t="inlineStr">
        <is>
          <t>INVESTMENT</t>
        </is>
      </c>
      <c r="B18" s="4" t="n"/>
      <c r="C18" s="4" t="n"/>
      <c r="D18" s="4" t="n"/>
      <c r="E18" s="4" t="n"/>
      <c r="F18" s="4" t="n"/>
    </row>
    <row r="19">
      <c r="A19" s="11" t="inlineStr">
        <is>
          <t>Alfaisaliah Investment (SAR '000)</t>
        </is>
      </c>
      <c r="B19" s="12" t="n">
        <v>9375</v>
      </c>
      <c r="C19" s="12" t="n">
        <v>7500</v>
      </c>
      <c r="D19" s="12" t="n">
        <v>1875</v>
      </c>
      <c r="E19" s="12" t="n">
        <v>0</v>
      </c>
      <c r="F19" s="12" t="n">
        <v>0</v>
      </c>
    </row>
    <row r="20">
      <c r="A20" s="5" t="inlineStr">
        <is>
          <t>Alfaisaliah Equity</t>
        </is>
      </c>
      <c r="B20" s="5" t="inlineStr">
        <is>
          <t>25-35%</t>
        </is>
      </c>
      <c r="C20" s="5" t="n"/>
      <c r="D20" s="5" t="n"/>
      <c r="E20" s="5" t="n"/>
      <c r="F2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Nama Academy (TKG-03) - SAR '000</t>
        </is>
      </c>
      <c r="B1" s="3" t="inlineStr">
        <is>
          <t>2026</t>
        </is>
      </c>
      <c r="C1" s="3" t="inlineStr">
        <is>
          <t>2027</t>
        </is>
      </c>
      <c r="D1" s="3" t="inlineStr">
        <is>
          <t>2028</t>
        </is>
      </c>
      <c r="E1" s="3" t="inlineStr">
        <is>
          <t>2029</t>
        </is>
      </c>
      <c r="F1" s="3" t="inlineStr">
        <is>
          <t>2030</t>
        </is>
      </c>
    </row>
    <row r="2">
      <c r="A2" s="4" t="inlineStr">
        <is>
          <t>REVENUE STREAMS</t>
        </is>
      </c>
      <c r="B2" s="4" t="n"/>
      <c r="C2" s="4" t="n"/>
      <c r="D2" s="4" t="n"/>
      <c r="E2" s="4" t="n"/>
      <c r="F2" s="4" t="n"/>
    </row>
    <row r="3">
      <c r="A3" s="11" t="inlineStr">
        <is>
          <t>1. SHA Life Support (BLS/ACLS/PALS)</t>
        </is>
      </c>
      <c r="B3" s="12" t="n">
        <v>800</v>
      </c>
      <c r="C3" s="12" t="n">
        <v>1800</v>
      </c>
      <c r="D3" s="12" t="n">
        <v>3500</v>
      </c>
      <c r="E3" s="12" t="n">
        <v>5500</v>
      </c>
      <c r="F3" s="12" t="n">
        <v>8000</v>
      </c>
    </row>
    <row r="4">
      <c r="A4" s="11" t="inlineStr">
        <is>
          <t>2. CME Programs (Specialty)</t>
        </is>
      </c>
      <c r="B4" s="12" t="n">
        <v>400</v>
      </c>
      <c r="C4" s="12" t="n">
        <v>1000</v>
      </c>
      <c r="D4" s="12" t="n">
        <v>2500</v>
      </c>
      <c r="E4" s="12" t="n">
        <v>4000</v>
      </c>
      <c r="F4" s="12" t="n">
        <v>6000</v>
      </c>
    </row>
    <row r="5">
      <c r="A5" s="11" t="inlineStr">
        <is>
          <t>3. Academy-as-a-Service (AaaS)</t>
        </is>
      </c>
      <c r="B5" s="12" t="n">
        <v>0</v>
      </c>
      <c r="C5" s="12" t="n">
        <v>500</v>
      </c>
      <c r="D5" s="12" t="n">
        <v>1500</v>
      </c>
      <c r="E5" s="12" t="n">
        <v>3000</v>
      </c>
      <c r="F5" s="12" t="n">
        <v>5000</v>
      </c>
    </row>
    <row r="6">
      <c r="A6" s="11" t="inlineStr">
        <is>
          <t>4. Conference &amp; Society CME</t>
        </is>
      </c>
      <c r="B6" s="12" t="n">
        <v>300</v>
      </c>
      <c r="C6" s="12" t="n">
        <v>800</v>
      </c>
      <c r="D6" s="12" t="n">
        <v>1500</v>
      </c>
      <c r="E6" s="12" t="n">
        <v>2500</v>
      </c>
      <c r="F6" s="12" t="n">
        <v>3500</v>
      </c>
    </row>
    <row r="7">
      <c r="A7" s="11" t="inlineStr">
        <is>
          <t>5. MGA Bundle CME Revenue Share</t>
        </is>
      </c>
      <c r="B7" s="12" t="n">
        <v>0</v>
      </c>
      <c r="C7" s="12" t="n">
        <v>200</v>
      </c>
      <c r="D7" s="12" t="n">
        <v>600</v>
      </c>
      <c r="E7" s="12" t="n">
        <v>1200</v>
      </c>
      <c r="F7" s="12" t="n">
        <v>2000</v>
      </c>
    </row>
    <row r="8">
      <c r="A8" s="11" t="inlineStr">
        <is>
          <t>6. HRDF/Tamheer Programs</t>
        </is>
      </c>
      <c r="B8" s="12" t="n">
        <v>200</v>
      </c>
      <c r="C8" s="12" t="n">
        <v>400</v>
      </c>
      <c r="D8" s="12" t="n">
        <v>700</v>
      </c>
      <c r="E8" s="12" t="n">
        <v>1000</v>
      </c>
      <c r="F8" s="12" t="n">
        <v>1500</v>
      </c>
    </row>
    <row r="9">
      <c r="A9" s="7" t="inlineStr">
        <is>
          <t>TOTAL REVENUE</t>
        </is>
      </c>
      <c r="B9" s="8">
        <f>SUM(B3:B8)</f>
        <v/>
      </c>
      <c r="C9" s="8">
        <f>SUM(C3:C8)</f>
        <v/>
      </c>
      <c r="D9" s="8">
        <f>SUM(D3:D8)</f>
        <v/>
      </c>
      <c r="E9" s="8">
        <f>SUM(E3:E8)</f>
        <v/>
      </c>
      <c r="F9" s="8">
        <f>SUM(F3:F8)</f>
        <v/>
      </c>
    </row>
    <row r="10">
      <c r="A10" s="4" t="inlineStr">
        <is>
          <t>COST STRUCTURE</t>
        </is>
      </c>
      <c r="B10" s="4" t="n"/>
      <c r="C10" s="4" t="n"/>
      <c r="D10" s="4" t="n"/>
      <c r="E10" s="4" t="n"/>
      <c r="F10" s="4" t="n"/>
    </row>
    <row r="11">
      <c r="A11" s="11" t="inlineStr">
        <is>
          <t>COGS</t>
        </is>
      </c>
      <c r="B11" s="12" t="n">
        <v>1100</v>
      </c>
      <c r="C11" s="12" t="n">
        <v>2500</v>
      </c>
      <c r="D11" s="12" t="n">
        <v>5000</v>
      </c>
      <c r="E11" s="12" t="n">
        <v>8000</v>
      </c>
      <c r="F11" s="12" t="n">
        <v>12000</v>
      </c>
    </row>
    <row r="12">
      <c r="A12" s="11" t="inlineStr">
        <is>
          <t>G&amp;A</t>
        </is>
      </c>
      <c r="B12" s="12" t="n">
        <v>500</v>
      </c>
      <c r="C12" s="12" t="n">
        <v>700</v>
      </c>
      <c r="D12" s="12" t="n">
        <v>1000</v>
      </c>
      <c r="E12" s="12" t="n">
        <v>1300</v>
      </c>
      <c r="F12" s="12" t="n">
        <v>1600</v>
      </c>
    </row>
    <row r="13">
      <c r="A13" s="11" t="inlineStr">
        <is>
          <t>S&amp;M</t>
        </is>
      </c>
      <c r="B13" s="12" t="n">
        <v>150</v>
      </c>
      <c r="C13" s="12" t="n">
        <v>300</v>
      </c>
      <c r="D13" s="12" t="n">
        <v>500</v>
      </c>
      <c r="E13" s="12" t="n">
        <v>700</v>
      </c>
      <c r="F13" s="12" t="n">
        <v>900</v>
      </c>
    </row>
    <row r="14">
      <c r="A14" s="7" t="inlineStr">
        <is>
          <t>EBITDA</t>
        </is>
      </c>
      <c r="B14" s="8">
        <f>B9-B11-B12-B13</f>
        <v/>
      </c>
      <c r="C14" s="8">
        <f>C9-C11-C12-C13</f>
        <v/>
      </c>
      <c r="D14" s="8">
        <f>D9-D11-D12-D13</f>
        <v/>
      </c>
      <c r="E14" s="8">
        <f>E9-E11-E12-E13</f>
        <v/>
      </c>
      <c r="F14" s="8">
        <f>F9-F11-F12-F13</f>
        <v/>
      </c>
    </row>
    <row r="15">
      <c r="A15" s="9" t="inlineStr">
        <is>
          <t>EBITDA Margin %</t>
        </is>
      </c>
      <c r="B15" s="10">
        <f>IF(B9=0,0,B14/B9)</f>
        <v/>
      </c>
      <c r="C15" s="10">
        <f>IF(C9=0,0,C14/C9)</f>
        <v/>
      </c>
      <c r="D15" s="10">
        <f>IF(D9=0,0,D14/D9)</f>
        <v/>
      </c>
      <c r="E15" s="10">
        <f>IF(E9=0,0,E14/E9)</f>
        <v/>
      </c>
      <c r="F15" s="10">
        <f>IF(F9=0,0,F14/F9)</f>
        <v/>
      </c>
    </row>
    <row r="16">
      <c r="A16" s="11" t="inlineStr">
        <is>
          <t>Headcount</t>
        </is>
      </c>
      <c r="B16" s="12" t="n">
        <v>10</v>
      </c>
      <c r="C16" s="12" t="n">
        <v>18</v>
      </c>
      <c r="D16" s="12" t="n">
        <v>30</v>
      </c>
      <c r="E16" s="12" t="n">
        <v>45</v>
      </c>
      <c r="F16" s="12" t="n">
        <v>60</v>
      </c>
    </row>
    <row r="17">
      <c r="A17" s="5" t="inlineStr">
        <is>
          <t>Funded by: Waraqa (SAR 400-500K/yr)</t>
        </is>
      </c>
      <c r="B17" s="5" t="n"/>
      <c r="C17" s="5" t="n"/>
      <c r="D17" s="5" t="n"/>
      <c r="E17" s="5" t="n"/>
      <c r="F17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Nama Bio Center (TKG-04) - SAR '000</t>
        </is>
      </c>
      <c r="B1" s="3" t="inlineStr">
        <is>
          <t>2026</t>
        </is>
      </c>
      <c r="C1" s="3" t="inlineStr">
        <is>
          <t>2027</t>
        </is>
      </c>
      <c r="D1" s="3" t="inlineStr">
        <is>
          <t>2028</t>
        </is>
      </c>
      <c r="E1" s="3" t="inlineStr">
        <is>
          <t>2029</t>
        </is>
      </c>
      <c r="F1" s="3" t="inlineStr">
        <is>
          <t>2030</t>
        </is>
      </c>
    </row>
    <row r="2">
      <c r="A2" s="4" t="inlineStr">
        <is>
          <t>REVENUE</t>
        </is>
      </c>
      <c r="B2" s="4" t="n"/>
      <c r="C2" s="4" t="n"/>
      <c r="D2" s="4" t="n"/>
      <c r="E2" s="4" t="n"/>
      <c r="F2" s="4" t="n"/>
    </row>
    <row r="3">
      <c r="A3" s="11" t="inlineStr">
        <is>
          <t>1. Bioequivalence Studies</t>
        </is>
      </c>
      <c r="B3" s="12" t="n">
        <v>2700</v>
      </c>
      <c r="C3" s="12" t="n">
        <v>4500</v>
      </c>
      <c r="D3" s="12" t="n">
        <v>8100</v>
      </c>
      <c r="E3" s="12" t="n">
        <v>10238</v>
      </c>
      <c r="F3" s="12" t="n">
        <v>13650</v>
      </c>
    </row>
    <row r="4">
      <c r="A4" s="11" t="inlineStr">
        <is>
          <t>2. Training &amp; Capacity Building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</row>
    <row r="5">
      <c r="A5" s="7" t="inlineStr">
        <is>
          <t>TOTAL REVENUE</t>
        </is>
      </c>
      <c r="B5" s="8">
        <f>SUM(B3:B4)</f>
        <v/>
      </c>
      <c r="C5" s="8">
        <f>SUM(C3:C4)</f>
        <v/>
      </c>
      <c r="D5" s="8">
        <f>SUM(D3:D4)</f>
        <v/>
      </c>
      <c r="E5" s="8">
        <f>SUM(E3:E4)</f>
        <v/>
      </c>
      <c r="F5" s="8">
        <f>SUM(F3:F4)</f>
        <v/>
      </c>
    </row>
    <row r="6">
      <c r="A6" s="4" t="inlineStr">
        <is>
          <t>COST STRUCTURE</t>
        </is>
      </c>
      <c r="B6" s="4" t="n"/>
      <c r="C6" s="4" t="n"/>
      <c r="D6" s="4" t="n"/>
      <c r="E6" s="4" t="n"/>
      <c r="F6" s="4" t="n"/>
    </row>
    <row r="7">
      <c r="A7" s="11" t="inlineStr">
        <is>
          <t>COGS</t>
        </is>
      </c>
      <c r="B7" s="12" t="n">
        <v>1872</v>
      </c>
      <c r="C7" s="12" t="n">
        <v>4479</v>
      </c>
      <c r="D7" s="12" t="n">
        <v>8220</v>
      </c>
      <c r="E7" s="12" t="n">
        <v>10378</v>
      </c>
      <c r="F7" s="12" t="n">
        <v>13433</v>
      </c>
    </row>
    <row r="8">
      <c r="A8" s="11" t="inlineStr">
        <is>
          <t>G&amp;A</t>
        </is>
      </c>
      <c r="B8" s="12" t="n">
        <v>2048</v>
      </c>
      <c r="C8" s="12" t="n">
        <v>2151</v>
      </c>
      <c r="D8" s="12" t="n">
        <v>3084</v>
      </c>
      <c r="E8" s="12" t="n">
        <v>3238</v>
      </c>
      <c r="F8" s="12" t="n">
        <v>3400</v>
      </c>
    </row>
    <row r="9">
      <c r="A9" s="11" t="inlineStr">
        <is>
          <t>S&amp;M</t>
        </is>
      </c>
      <c r="B9" s="12" t="n">
        <v>80</v>
      </c>
      <c r="C9" s="12" t="n">
        <v>232</v>
      </c>
      <c r="D9" s="12" t="n">
        <v>501</v>
      </c>
      <c r="E9" s="12" t="n">
        <v>526</v>
      </c>
      <c r="F9" s="12" t="n">
        <v>553</v>
      </c>
    </row>
    <row r="10">
      <c r="A10" s="7" t="inlineStr">
        <is>
          <t>EBITDA</t>
        </is>
      </c>
      <c r="B10" s="8">
        <f>B5-B7-B8-B9</f>
        <v/>
      </c>
      <c r="C10" s="8">
        <f>C5-C7-C8-C9</f>
        <v/>
      </c>
      <c r="D10" s="8">
        <f>D5-D7-D8-D9</f>
        <v/>
      </c>
      <c r="E10" s="8">
        <f>E5-E7-E8-E9</f>
        <v/>
      </c>
      <c r="F10" s="8">
        <f>F5-F7-F8-F9</f>
        <v/>
      </c>
    </row>
    <row r="11">
      <c r="A11" s="9" t="inlineStr">
        <is>
          <t>EBITDA Margin %</t>
        </is>
      </c>
      <c r="B11" s="10">
        <f>IF(B5=0,0,B10/B5)</f>
        <v/>
      </c>
      <c r="C11" s="10">
        <f>IF(C5=0,0,C10/C5)</f>
        <v/>
      </c>
      <c r="D11" s="10">
        <f>IF(D5=0,0,D10/D5)</f>
        <v/>
      </c>
      <c r="E11" s="10">
        <f>IF(E5=0,0,E10/E5)</f>
        <v/>
      </c>
      <c r="F11" s="10">
        <f>IF(F5=0,0,F10/F5)</f>
        <v/>
      </c>
    </row>
    <row r="12">
      <c r="A12" s="11" t="inlineStr">
        <is>
          <t>Headcount</t>
        </is>
      </c>
      <c r="B12" s="12" t="n">
        <v>12</v>
      </c>
      <c r="C12" s="12" t="n">
        <v>18</v>
      </c>
      <c r="D12" s="12" t="n">
        <v>28</v>
      </c>
      <c r="E12" s="12" t="n">
        <v>35</v>
      </c>
      <c r="F12" s="12" t="n">
        <v>42</v>
      </c>
    </row>
    <row r="13">
      <c r="A13" s="4" t="inlineStr">
        <is>
          <t>CAPITAL</t>
        </is>
      </c>
      <c r="B13" s="4" t="n"/>
      <c r="C13" s="4" t="n"/>
      <c r="D13" s="4" t="n"/>
      <c r="E13" s="4" t="n"/>
      <c r="F13" s="4" t="n"/>
    </row>
    <row r="14">
      <c r="A14" s="11" t="inlineStr">
        <is>
          <t>Capex</t>
        </is>
      </c>
      <c r="B14" s="12" t="n">
        <v>5000</v>
      </c>
      <c r="C14" s="12" t="n">
        <v>1400</v>
      </c>
      <c r="D14" s="12" t="n">
        <v>1150</v>
      </c>
      <c r="E14" s="12" t="n">
        <v>0</v>
      </c>
      <c r="F14" s="12" t="n">
        <v>0</v>
      </c>
    </row>
    <row r="15">
      <c r="A15" s="5" t="inlineStr">
        <is>
          <t>Govt Grant: SAR 2,000K | Equity: SAR 6,206K</t>
        </is>
      </c>
      <c r="B15" s="5" t="n"/>
      <c r="C15" s="5" t="n"/>
      <c r="D15" s="5" t="n"/>
      <c r="E15" s="5" t="n"/>
      <c r="F15" s="5" t="n"/>
    </row>
    <row r="16">
      <c r="A16" s="11" t="inlineStr">
        <is>
          <t>BE Studies/Year</t>
        </is>
      </c>
      <c r="B16" s="12" t="n">
        <v>10</v>
      </c>
      <c r="C16" s="12" t="n">
        <v>15</v>
      </c>
      <c r="D16" s="12" t="n">
        <v>25</v>
      </c>
      <c r="E16" s="12" t="n">
        <v>30</v>
      </c>
      <c r="F16" s="1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Saudi Evidence Platform (TKG-05) - SAR '000</t>
        </is>
      </c>
      <c r="B1" s="3" t="inlineStr">
        <is>
          <t>2026</t>
        </is>
      </c>
      <c r="C1" s="3" t="inlineStr">
        <is>
          <t>2027</t>
        </is>
      </c>
      <c r="D1" s="3" t="inlineStr">
        <is>
          <t>2028</t>
        </is>
      </c>
      <c r="E1" s="3" t="inlineStr">
        <is>
          <t>2029</t>
        </is>
      </c>
      <c r="F1" s="3" t="inlineStr">
        <is>
          <t>2030</t>
        </is>
      </c>
    </row>
    <row r="2">
      <c r="A2" s="4" t="inlineStr">
        <is>
          <t>REVENUE STREAMS</t>
        </is>
      </c>
      <c r="B2" s="4" t="n"/>
      <c r="C2" s="4" t="n"/>
      <c r="D2" s="4" t="n"/>
      <c r="E2" s="4" t="n"/>
      <c r="F2" s="4" t="n"/>
    </row>
    <row r="3">
      <c r="A3" s="11" t="inlineStr">
        <is>
          <t>1. CHI Partnership / Govt Contract</t>
        </is>
      </c>
      <c r="B3" s="12" t="n">
        <v>0</v>
      </c>
      <c r="C3" s="12" t="n">
        <v>500</v>
      </c>
      <c r="D3" s="12" t="n">
        <v>2000</v>
      </c>
      <c r="E3" s="12" t="n">
        <v>4000</v>
      </c>
      <c r="F3" s="12" t="n">
        <v>7000</v>
      </c>
    </row>
    <row r="4">
      <c r="A4" s="11" t="inlineStr">
        <is>
          <t>2. Institutional Subscriptions (B2B)</t>
        </is>
      </c>
      <c r="B4" s="12" t="n">
        <v>0</v>
      </c>
      <c r="C4" s="12" t="n">
        <v>300</v>
      </c>
      <c r="D4" s="12" t="n">
        <v>1500</v>
      </c>
      <c r="E4" s="12" t="n">
        <v>3500</v>
      </c>
      <c r="F4" s="12" t="n">
        <v>7000</v>
      </c>
    </row>
    <row r="5">
      <c r="A5" s="11" t="inlineStr">
        <is>
          <t>3. Pharma Data Packages</t>
        </is>
      </c>
      <c r="B5" s="12" t="n">
        <v>0</v>
      </c>
      <c r="C5" s="12" t="n">
        <v>0</v>
      </c>
      <c r="D5" s="12" t="n">
        <v>500</v>
      </c>
      <c r="E5" s="12" t="n">
        <v>1500</v>
      </c>
      <c r="F5" s="12" t="n">
        <v>3000</v>
      </c>
    </row>
    <row r="6">
      <c r="A6" s="11" t="inlineStr">
        <is>
          <t>4. CME Platform Fees</t>
        </is>
      </c>
      <c r="B6" s="12" t="n">
        <v>0</v>
      </c>
      <c r="C6" s="12" t="n">
        <v>200</v>
      </c>
      <c r="D6" s="12" t="n">
        <v>800</v>
      </c>
      <c r="E6" s="12" t="n">
        <v>1500</v>
      </c>
      <c r="F6" s="12" t="n">
        <v>2500</v>
      </c>
    </row>
    <row r="7">
      <c r="A7" s="7" t="inlineStr">
        <is>
          <t>TOTAL REVENUE</t>
        </is>
      </c>
      <c r="B7" s="8">
        <f>SUM(B3:B6)</f>
        <v/>
      </c>
      <c r="C7" s="8">
        <f>SUM(C3:C6)</f>
        <v/>
      </c>
      <c r="D7" s="8">
        <f>SUM(D3:D6)</f>
        <v/>
      </c>
      <c r="E7" s="8">
        <f>SUM(E3:E6)</f>
        <v/>
      </c>
      <c r="F7" s="8">
        <f>SUM(F3:F6)</f>
        <v/>
      </c>
    </row>
    <row r="8">
      <c r="A8" s="4" t="inlineStr">
        <is>
          <t>COST STRUCTURE</t>
        </is>
      </c>
      <c r="B8" s="4" t="n"/>
      <c r="C8" s="4" t="n"/>
      <c r="D8" s="4" t="n"/>
      <c r="E8" s="4" t="n"/>
      <c r="F8" s="4" t="n"/>
    </row>
    <row r="9">
      <c r="A9" s="11" t="inlineStr">
        <is>
          <t>COGS (Cloud, APIs, DeepEvidence)</t>
        </is>
      </c>
      <c r="B9" s="12" t="n">
        <v>500</v>
      </c>
      <c r="C9" s="12" t="n">
        <v>800</v>
      </c>
      <c r="D9" s="12" t="n">
        <v>1500</v>
      </c>
      <c r="E9" s="12" t="n">
        <v>2500</v>
      </c>
      <c r="F9" s="12" t="n">
        <v>4000</v>
      </c>
    </row>
    <row r="10">
      <c r="A10" s="11" t="inlineStr">
        <is>
          <t>G&amp;A (Dev Team, Ops)</t>
        </is>
      </c>
      <c r="B10" s="12" t="n">
        <v>2000</v>
      </c>
      <c r="C10" s="12" t="n">
        <v>2500</v>
      </c>
      <c r="D10" s="12" t="n">
        <v>3000</v>
      </c>
      <c r="E10" s="12" t="n">
        <v>3500</v>
      </c>
      <c r="F10" s="12" t="n">
        <v>4000</v>
      </c>
    </row>
    <row r="11">
      <c r="A11" s="11" t="inlineStr">
        <is>
          <t>S&amp;M</t>
        </is>
      </c>
      <c r="B11" s="12" t="n">
        <v>200</v>
      </c>
      <c r="C11" s="12" t="n">
        <v>400</v>
      </c>
      <c r="D11" s="12" t="n">
        <v>600</v>
      </c>
      <c r="E11" s="12" t="n">
        <v>800</v>
      </c>
      <c r="F11" s="12" t="n">
        <v>1000</v>
      </c>
    </row>
    <row r="12">
      <c r="A12" s="7" t="inlineStr">
        <is>
          <t>EBITDA</t>
        </is>
      </c>
      <c r="B12" s="8">
        <f>B7-B9-B10-B11</f>
        <v/>
      </c>
      <c r="C12" s="8">
        <f>C7-C9-C10-C11</f>
        <v/>
      </c>
      <c r="D12" s="8">
        <f>D7-D9-D10-D11</f>
        <v/>
      </c>
      <c r="E12" s="8">
        <f>E7-E9-E10-E11</f>
        <v/>
      </c>
      <c r="F12" s="8">
        <f>F7-F9-F10-F11</f>
        <v/>
      </c>
    </row>
    <row r="13">
      <c r="A13" s="9" t="inlineStr">
        <is>
          <t>EBITDA Margin %</t>
        </is>
      </c>
      <c r="B13" s="10">
        <f>IF(B7=0,0,B12/B7)</f>
        <v/>
      </c>
      <c r="C13" s="10">
        <f>IF(C7=0,0,C12/C7)</f>
        <v/>
      </c>
      <c r="D13" s="10">
        <f>IF(D7=0,0,D12/D7)</f>
        <v/>
      </c>
      <c r="E13" s="10">
        <f>IF(E7=0,0,E12/E7)</f>
        <v/>
      </c>
      <c r="F13" s="10">
        <f>IF(F7=0,0,F12/F7)</f>
        <v/>
      </c>
    </row>
    <row r="14">
      <c r="A14" s="11" t="inlineStr">
        <is>
          <t>Headcount</t>
        </is>
      </c>
      <c r="B14" s="12" t="n">
        <v>6</v>
      </c>
      <c r="C14" s="12" t="n">
        <v>10</v>
      </c>
      <c r="D14" s="12" t="n">
        <v>15</v>
      </c>
      <c r="E14" s="12" t="n">
        <v>20</v>
      </c>
      <c r="F14" s="12" t="n">
        <v>25</v>
      </c>
    </row>
    <row r="15">
      <c r="A15" s="11" t="inlineStr">
        <is>
          <t>Active Users (Clinicians)</t>
        </is>
      </c>
      <c r="B15" s="12" t="n">
        <v>500</v>
      </c>
      <c r="C15" s="12" t="n">
        <v>2000</v>
      </c>
      <c r="D15" s="12" t="n">
        <v>10000</v>
      </c>
      <c r="E15" s="12" t="n">
        <v>30000</v>
      </c>
      <c r="F15" s="12" t="n">
        <v>75000</v>
      </c>
    </row>
    <row r="16">
      <c r="A16" s="4" t="inlineStr">
        <is>
          <t>FUNDING (NON-DILUTIVE)</t>
        </is>
      </c>
      <c r="B16" s="4" t="n"/>
      <c r="C16" s="4" t="n"/>
      <c r="D16" s="4" t="n"/>
      <c r="E16" s="4" t="n"/>
      <c r="F16" s="4" t="n"/>
    </row>
    <row r="17">
      <c r="A17" s="11" t="inlineStr">
        <is>
          <t>Government Grants (SDAIA/RDIA/NTDP)</t>
        </is>
      </c>
      <c r="B17" s="12" t="n">
        <v>3000</v>
      </c>
      <c r="C17" s="12" t="n">
        <v>4000</v>
      </c>
      <c r="D17" s="12" t="n">
        <v>3000</v>
      </c>
      <c r="E17" s="12" t="n">
        <v>0</v>
      </c>
      <c r="F17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5" customWidth="1" min="3" max="3"/>
  </cols>
  <sheetData>
    <row r="1">
      <c r="A1" s="3" t="inlineStr">
        <is>
          <t>Assumption</t>
        </is>
      </c>
      <c r="B1" s="3" t="inlineStr">
        <is>
          <t>Value</t>
        </is>
      </c>
      <c r="C1" s="3" t="inlineStr">
        <is>
          <t>Basis</t>
        </is>
      </c>
      <c r="D1" s="3" t="n"/>
      <c r="E1" s="3" t="n"/>
      <c r="F1" s="3" t="n"/>
    </row>
    <row r="2">
      <c r="A2" s="5" t="inlineStr">
        <is>
          <t>Currency</t>
        </is>
      </c>
      <c r="B2" s="5" t="inlineStr">
        <is>
          <t>SAR (thousands)</t>
        </is>
      </c>
      <c r="C2" s="5" t="inlineStr">
        <is>
          <t>All figures in SAR thousands</t>
        </is>
      </c>
    </row>
    <row r="3">
      <c r="A3" s="5" t="inlineStr">
        <is>
          <t>Exchange Rate</t>
        </is>
      </c>
      <c r="B3" s="5" t="inlineStr">
        <is>
          <t>1 USD = 3.75 SAR</t>
        </is>
      </c>
      <c r="C3" s="5" t="inlineStr">
        <is>
          <t>SAMA</t>
        </is>
      </c>
    </row>
    <row r="4">
      <c r="A4" s="5" t="inlineStr">
        <is>
          <t>Tax/Zakat</t>
        </is>
      </c>
      <c r="B4" s="5" t="inlineStr">
        <is>
          <t>2.5%</t>
        </is>
      </c>
      <c r="C4" s="5" t="inlineStr">
        <is>
          <t>Saudi Zakat on local entities</t>
        </is>
      </c>
    </row>
    <row r="5">
      <c r="A5" s="5" t="inlineStr">
        <is>
          <t>Discount Rate</t>
        </is>
      </c>
      <c r="B5" s="5" t="inlineStr">
        <is>
          <t>15%</t>
        </is>
      </c>
      <c r="C5" s="5" t="inlineStr">
        <is>
          <t>Emerging market healthcare premium</t>
        </is>
      </c>
    </row>
    <row r="6">
      <c r="A6" s="5" t="inlineStr">
        <is>
          <t>Terminal Growth</t>
        </is>
      </c>
      <c r="B6" s="5" t="inlineStr">
        <is>
          <t>3%</t>
        </is>
      </c>
      <c r="C6" s="5" t="inlineStr">
        <is>
          <t>GDP-aligned long-term</t>
        </is>
      </c>
    </row>
    <row r="7">
      <c r="A7" s="5" t="inlineStr">
        <is>
          <t>Scenario</t>
        </is>
      </c>
      <c r="B7" s="5" t="inlineStr">
        <is>
          <t>Conservative</t>
        </is>
      </c>
      <c r="C7" s="5" t="inlineStr">
        <is>
          <t>25-35% below management base case</t>
        </is>
      </c>
    </row>
    <row r="8">
      <c r="A8" s="5" t="inlineStr"/>
      <c r="B8" s="5" t="inlineStr"/>
      <c r="C8" s="5" t="inlineStr"/>
    </row>
    <row r="9">
      <c r="A9" s="4" t="inlineStr">
        <is>
          <t>MARKET</t>
        </is>
      </c>
      <c r="B9" s="4" t="inlineStr"/>
      <c r="C9" s="4" t="inlineStr"/>
    </row>
    <row r="10">
      <c r="A10" s="5" t="inlineStr">
        <is>
          <t>Healthcare Spend</t>
        </is>
      </c>
      <c r="B10" s="5" t="inlineStr">
        <is>
          <t>SAR 196B/year</t>
        </is>
      </c>
      <c r="C10" s="5" t="inlineStr">
        <is>
          <t>MOH / Vision 2030</t>
        </is>
      </c>
    </row>
    <row r="11">
      <c r="A11" s="5" t="inlineStr">
        <is>
          <t>Scientific Societies</t>
        </is>
      </c>
      <c r="B11" s="5" t="inlineStr">
        <is>
          <t>80+</t>
        </is>
      </c>
      <c r="C11" s="5" t="inlineStr">
        <is>
          <t>SCFHS registered</t>
        </is>
      </c>
    </row>
    <row r="12">
      <c r="A12" s="5" t="inlineStr">
        <is>
          <t>CME Mandate</t>
        </is>
      </c>
      <c r="B12" s="5" t="inlineStr">
        <is>
          <t>30 credits/year</t>
        </is>
      </c>
      <c r="C12" s="5" t="inlineStr">
        <is>
          <t>SCFHS regulation</t>
        </is>
      </c>
    </row>
    <row r="13">
      <c r="A13" s="5" t="inlineStr">
        <is>
          <t>Licensed Professionals</t>
        </is>
      </c>
      <c r="B13" s="5" t="inlineStr">
        <is>
          <t>300,000+</t>
        </is>
      </c>
      <c r="C13" s="5" t="inlineStr">
        <is>
          <t>SCFHS registry</t>
        </is>
      </c>
    </row>
    <row r="14">
      <c r="A14" s="5" t="inlineStr">
        <is>
          <t>Private Hospitals</t>
        </is>
      </c>
      <c r="B14" s="5" t="inlineStr">
        <is>
          <t>400+</t>
        </is>
      </c>
      <c r="C14" s="5" t="inlineStr">
        <is>
          <t>MOH statistics</t>
        </is>
      </c>
    </row>
    <row r="15">
      <c r="A15" s="5" t="inlineStr"/>
      <c r="B15" s="5" t="inlineStr"/>
      <c r="C15" s="5" t="inlineStr"/>
    </row>
    <row r="16">
      <c r="A16" s="4" t="inlineStr">
        <is>
          <t>OPERATIONAL</t>
        </is>
      </c>
      <c r="B16" s="4" t="inlineStr"/>
      <c r="C16" s="4" t="inlineStr"/>
    </row>
    <row r="17">
      <c r="A17" s="5" t="inlineStr">
        <is>
          <t>Society Partnerships</t>
        </is>
      </c>
      <c r="B17" s="5" t="inlineStr">
        <is>
          <t>3&gt;5&gt;10&gt;15&gt;20 (Y1-Y5)</t>
        </is>
      </c>
      <c r="C17" s="5" t="inlineStr">
        <is>
          <t>Conversion rate model</t>
        </is>
      </c>
    </row>
    <row r="18">
      <c r="A18" s="5" t="inlineStr">
        <is>
          <t>Physician Pipeline</t>
        </is>
      </c>
      <c r="B18" s="5" t="inlineStr">
        <is>
          <t>500&gt;1K&gt;2K&gt;3.5K&gt;5K</t>
        </is>
      </c>
      <c r="C18" s="5" t="inlineStr">
        <is>
          <t>Academy capacity</t>
        </is>
      </c>
    </row>
    <row r="19">
      <c r="A19" s="5" t="inlineStr">
        <is>
          <t>BE Studies/Year</t>
        </is>
      </c>
      <c r="B19" s="5" t="inlineStr">
        <is>
          <t>10&gt;15&gt;25&gt;30&gt;40</t>
        </is>
      </c>
      <c r="C19" s="5" t="inlineStr">
        <is>
          <t>CARE ward capacity</t>
        </is>
      </c>
    </row>
    <row r="20">
      <c r="A20" s="5" t="inlineStr">
        <is>
          <t>CRO Active Trials</t>
        </is>
      </c>
      <c r="B20" s="5" t="inlineStr">
        <is>
          <t>5&gt;12&gt;20&gt;30&gt;40</t>
        </is>
      </c>
      <c r="C20" s="5" t="inlineStr">
        <is>
          <t>Alfaisaliah + external</t>
        </is>
      </c>
    </row>
    <row r="21">
      <c r="A21" s="5" t="inlineStr">
        <is>
          <t>Saudi Evidence Users</t>
        </is>
      </c>
      <c r="B21" s="5" t="inlineStr">
        <is>
          <t>500&gt;2K&gt;10K&gt;30K&gt;75K</t>
        </is>
      </c>
      <c r="C21" s="5" t="inlineStr">
        <is>
          <t>Free adoption curve</t>
        </is>
      </c>
    </row>
    <row r="22">
      <c r="A22" s="5" t="inlineStr"/>
      <c r="B22" s="5" t="inlineStr"/>
      <c r="C22" s="5" t="inlineStr"/>
    </row>
    <row r="23">
      <c r="A23" s="4" t="inlineStr">
        <is>
          <t>PRICING</t>
        </is>
      </c>
      <c r="B23" s="4" t="inlineStr"/>
      <c r="C23" s="4" t="inlineStr"/>
    </row>
    <row r="24">
      <c r="A24" s="5" t="inlineStr">
        <is>
          <t>APC per article</t>
        </is>
      </c>
      <c r="B24" s="5" t="inlineStr">
        <is>
          <t>SAR 3,000-4,000</t>
        </is>
      </c>
      <c r="C24" s="5" t="inlineStr">
        <is>
          <t>Int'l OA competitive</t>
        </is>
      </c>
    </row>
    <row r="25">
      <c r="A25" s="5" t="inlineStr">
        <is>
          <t>BE Study Price</t>
        </is>
      </c>
      <c r="B25" s="5" t="inlineStr">
        <is>
          <t>SAR 300-450K</t>
        </is>
      </c>
      <c r="C25" s="5" t="inlineStr">
        <is>
          <t>Market rate KSA</t>
        </is>
      </c>
    </row>
    <row r="26">
      <c r="A26" s="5" t="inlineStr">
        <is>
          <t>CRO Trial Revenue</t>
        </is>
      </c>
      <c r="B26" s="5" t="inlineStr">
        <is>
          <t>SAR 750K-1.5M/study</t>
        </is>
      </c>
      <c r="C26" s="5" t="inlineStr">
        <is>
          <t>Phase-dependent</t>
        </is>
      </c>
    </row>
    <row r="27">
      <c r="A27" s="5" t="inlineStr">
        <is>
          <t>SHA Course Fee</t>
        </is>
      </c>
      <c r="B27" s="5" t="inlineStr">
        <is>
          <t>SAR 600-1,500/person</t>
        </is>
      </c>
      <c r="C27" s="5" t="inlineStr">
        <is>
          <t>SHA standard</t>
        </is>
      </c>
    </row>
    <row r="28">
      <c r="A28" s="5" t="inlineStr">
        <is>
          <t>AaaS Contract</t>
        </is>
      </c>
      <c r="B28" s="5" t="inlineStr">
        <is>
          <t>SAR 200-500K/year</t>
        </is>
      </c>
      <c r="C28" s="5" t="inlineStr">
        <is>
          <t>Hospital size dependent</t>
        </is>
      </c>
    </row>
    <row r="29">
      <c r="A29" s="5" t="inlineStr">
        <is>
          <t>Physician Plan</t>
        </is>
      </c>
      <c r="B29" s="5" t="inlineStr">
        <is>
          <t>SAR 2-15K/month</t>
        </is>
      </c>
      <c r="C29" s="5" t="inlineStr">
        <is>
          <t>3-tier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2026-03-19T23:16:15Z</dcterms:created>
  <dcterms:modified xmlns:dcterms="http://purl.org/dc/terms/" xmlns:xsi="http://www.w3.org/2001/XMLSchema-instance" xsi:type="dcterms:W3CDTF">2026-03-19T23:16:15Z</dcterms:modified>
</cp:coreProperties>
</file>