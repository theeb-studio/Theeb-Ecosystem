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TKG" sheetId="1" state="visible" r:id="rId1"/>
    <sheet xmlns:r="http://schemas.openxmlformats.org/officeDocument/2006/relationships" name="Waraqa (TKG-01)" sheetId="2" state="visible" r:id="rId2"/>
    <sheet xmlns:r="http://schemas.openxmlformats.org/officeDocument/2006/relationships" name="Nama CRO (TKG-02)" sheetId="3" state="visible" r:id="rId3"/>
    <sheet xmlns:r="http://schemas.openxmlformats.org/officeDocument/2006/relationships" name="Nama Academy (TKG-03)" sheetId="4" state="visible" r:id="rId4"/>
    <sheet xmlns:r="http://schemas.openxmlformats.org/officeDocument/2006/relationships" name="Nama Bio (TKG-04)" sheetId="5" state="visible" r:id="rId5"/>
    <sheet xmlns:r="http://schemas.openxmlformats.org/officeDocument/2006/relationships" name="Saudi Evidence (TKG-05)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E3A5F"/>
      <sz val="9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10"/>
    </font>
    <font>
      <name val="Arial"/>
      <color rgb="00FF0000"/>
      <sz val="10"/>
    </font>
    <font>
      <name val="Arial"/>
      <sz val="10"/>
    </font>
    <font>
      <name val="Arial"/>
      <b val="1"/>
      <color rgb="00FFFFFF"/>
      <sz val="13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0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11" fillId="0" borderId="1" pivotButton="0" quotePrefix="0" xfId="0"/>
    <xf numFmtId="164" fontId="11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7" fillId="0" borderId="1" pivotButton="0" quotePrefix="0" xfId="0"/>
    <xf numFmtId="49" fontId="7" fillId="0" borderId="1" pivotButton="0" quotePrefix="0" xfId="0"/>
    <xf numFmtId="165" fontId="7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" fillId="2" borderId="0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49" fontId="9" fillId="0" borderId="1" pivotButton="0" quotePrefix="0" xfId="0"/>
    <xf numFmtId="0" fontId="6" fillId="5" borderId="1" pivotButton="0" quotePrefix="0" xfId="0"/>
    <xf numFmtId="164" fontId="6" fillId="5" borderId="1" pivotButton="0" quotePrefix="0" xfId="0"/>
    <xf numFmtId="166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F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TKG - THEEB KNOWLEDGE GROUP | CONSOLIDATED P&amp;L</t>
        </is>
      </c>
    </row>
    <row r="2">
      <c r="A2" s="2" t="inlineStr">
        <is>
          <t>SAR Thousands | Conservative Scenario | 2026-2030</t>
        </is>
      </c>
    </row>
    <row r="3">
      <c r="A3" s="3" t="inlineStr"/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</row>
    <row r="4">
      <c r="A4" s="4" t="inlineStr">
        <is>
          <t>REVENUE BY ENTITY</t>
        </is>
      </c>
      <c r="B4" s="4" t="n"/>
      <c r="C4" s="4" t="n"/>
      <c r="D4" s="4" t="n"/>
      <c r="E4" s="4" t="n"/>
      <c r="F4" s="4" t="n"/>
    </row>
    <row r="5">
      <c r="A5" s="5" t="inlineStr">
        <is>
          <t>Waraqa (TKG-01)</t>
        </is>
      </c>
      <c r="B5" s="6">
        <f>'Waraqa (TKG-01)'!B14</f>
        <v/>
      </c>
      <c r="C5" s="6">
        <f>'Waraqa (TKG-01)'!C14</f>
        <v/>
      </c>
      <c r="D5" s="6">
        <f>'Waraqa (TKG-01)'!D14</f>
        <v/>
      </c>
      <c r="E5" s="6">
        <f>'Waraqa (TKG-01)'!E14</f>
        <v/>
      </c>
      <c r="F5" s="6">
        <f>'Waraqa (TKG-01)'!F14</f>
        <v/>
      </c>
    </row>
    <row r="6">
      <c r="A6" s="5" t="inlineStr">
        <is>
          <t>Nama CRO (TKG-02)</t>
        </is>
      </c>
      <c r="B6" s="6">
        <f>'Nama CRO (TKG-02)'!B11</f>
        <v/>
      </c>
      <c r="C6" s="6">
        <f>'Nama CRO (TKG-02)'!C11</f>
        <v/>
      </c>
      <c r="D6" s="6">
        <f>'Nama CRO (TKG-02)'!D11</f>
        <v/>
      </c>
      <c r="E6" s="6">
        <f>'Nama CRO (TKG-02)'!E11</f>
        <v/>
      </c>
      <c r="F6" s="6">
        <f>'Nama CRO (TKG-02)'!F11</f>
        <v/>
      </c>
    </row>
    <row r="7">
      <c r="A7" s="5" t="inlineStr">
        <is>
          <t>Nama Academy (TKG-03)</t>
        </is>
      </c>
      <c r="B7" s="6">
        <f>'Nama Academy (TKG-03)'!B11</f>
        <v/>
      </c>
      <c r="C7" s="6">
        <f>'Nama Academy (TKG-03)'!C11</f>
        <v/>
      </c>
      <c r="D7" s="6">
        <f>'Nama Academy (TKG-03)'!D11</f>
        <v/>
      </c>
      <c r="E7" s="6">
        <f>'Nama Academy (TKG-03)'!E11</f>
        <v/>
      </c>
      <c r="F7" s="6">
        <f>'Nama Academy (TKG-03)'!F11</f>
        <v/>
      </c>
    </row>
    <row r="8">
      <c r="A8" s="5" t="inlineStr">
        <is>
          <t>Nama Bio (TKG-04)</t>
        </is>
      </c>
      <c r="B8" s="6">
        <f>'Nama Bio (TKG-04)'!B6</f>
        <v/>
      </c>
      <c r="C8" s="6">
        <f>'Nama Bio (TKG-04)'!C6</f>
        <v/>
      </c>
      <c r="D8" s="6">
        <f>'Nama Bio (TKG-04)'!D6</f>
        <v/>
      </c>
      <c r="E8" s="6">
        <f>'Nama Bio (TKG-04)'!E6</f>
        <v/>
      </c>
      <c r="F8" s="6">
        <f>'Nama Bio (TKG-04)'!F6</f>
        <v/>
      </c>
    </row>
    <row r="9">
      <c r="A9" s="5" t="inlineStr">
        <is>
          <t>Saudi Evidence (TKG-05)</t>
        </is>
      </c>
      <c r="B9" s="6">
        <f>'Saudi Evidence (TKG-05)'!B9</f>
        <v/>
      </c>
      <c r="C9" s="6">
        <f>'Saudi Evidence (TKG-05)'!C9</f>
        <v/>
      </c>
      <c r="D9" s="6">
        <f>'Saudi Evidence (TKG-05)'!D9</f>
        <v/>
      </c>
      <c r="E9" s="6">
        <f>'Saudi Evidence (TKG-05)'!E9</f>
        <v/>
      </c>
      <c r="F9" s="6">
        <f>'Saudi Evidence (TKG-05)'!F9</f>
        <v/>
      </c>
    </row>
    <row r="10">
      <c r="A10" s="7" t="inlineStr">
        <is>
          <t>TOTAL GROSS REVENUE</t>
        </is>
      </c>
      <c r="B10" s="8">
        <f>SUM(B5:B9)</f>
        <v/>
      </c>
      <c r="C10" s="8">
        <f>SUM(C5:C9)</f>
        <v/>
      </c>
      <c r="D10" s="8">
        <f>SUM(D5:D9)</f>
        <v/>
      </c>
      <c r="E10" s="8">
        <f>SUM(E5:E9)</f>
        <v/>
      </c>
      <c r="F10" s="8">
        <f>SUM(F5:F9)</f>
        <v/>
      </c>
    </row>
    <row r="11">
      <c r="A11" s="9" t="inlineStr">
        <is>
          <t>Inter-company Eliminations</t>
        </is>
      </c>
      <c r="B11" s="10" t="n">
        <v>-700</v>
      </c>
      <c r="C11" s="10" t="n">
        <v>-1500</v>
      </c>
      <c r="D11" s="10" t="n">
        <v>-2500</v>
      </c>
      <c r="E11" s="10" t="n">
        <v>-3500</v>
      </c>
      <c r="F11" s="10" t="n">
        <v>-4500</v>
      </c>
    </row>
    <row r="12">
      <c r="A12" s="7" t="inlineStr">
        <is>
          <t>TOTAL NET REVENUE</t>
        </is>
      </c>
      <c r="B12" s="8">
        <f>B10+B11</f>
        <v/>
      </c>
      <c r="C12" s="8">
        <f>C10+C11</f>
        <v/>
      </c>
      <c r="D12" s="8">
        <f>D10+D11</f>
        <v/>
      </c>
      <c r="E12" s="8">
        <f>E10+E11</f>
        <v/>
      </c>
      <c r="F12" s="8">
        <f>F10+F11</f>
        <v/>
      </c>
    </row>
    <row r="13">
      <c r="A13" s="11" t="inlineStr">
        <is>
          <t>Revenue Growth %</t>
        </is>
      </c>
      <c r="B13" s="12" t="inlineStr">
        <is>
          <t>N/A</t>
        </is>
      </c>
      <c r="C13" s="13">
        <f>IF(B12=0,0,(C12-B12)/B12)</f>
        <v/>
      </c>
      <c r="D13" s="13">
        <f>IF(C12=0,0,(D12-C12)/C12)</f>
        <v/>
      </c>
      <c r="E13" s="13">
        <f>IF(D12=0,0,(E12-D12)/D12)</f>
        <v/>
      </c>
      <c r="F13" s="13">
        <f>IF(E12=0,0,(F12-E12)/E12)</f>
        <v/>
      </c>
    </row>
    <row r="15">
      <c r="A15" s="4" t="inlineStr">
        <is>
          <t>TOTAL COSTS BY ENTITY</t>
        </is>
      </c>
      <c r="B15" s="4" t="n"/>
      <c r="C15" s="4" t="n"/>
      <c r="D15" s="4" t="n"/>
      <c r="E15" s="4" t="n"/>
      <c r="F15" s="4" t="n"/>
    </row>
    <row r="16">
      <c r="A16" s="5" t="inlineStr">
        <is>
          <t>Waraqa Total Costs</t>
        </is>
      </c>
      <c r="B16" s="6">
        <f>'Waraqa (TKG-01)'!B23+'Waraqa (TKG-01)'!B34+'Waraqa (TKG-01)'!B41</f>
        <v/>
      </c>
      <c r="C16" s="6">
        <f>'Waraqa (TKG-01)'!C23+'Waraqa (TKG-01)'!C34+'Waraqa (TKG-01)'!C41</f>
        <v/>
      </c>
      <c r="D16" s="6">
        <f>'Waraqa (TKG-01)'!D23+'Waraqa (TKG-01)'!D34+'Waraqa (TKG-01)'!D41</f>
        <v/>
      </c>
      <c r="E16" s="6">
        <f>'Waraqa (TKG-01)'!E23+'Waraqa (TKG-01)'!E34+'Waraqa (TKG-01)'!E41</f>
        <v/>
      </c>
      <c r="F16" s="6">
        <f>'Waraqa (TKG-01)'!F23+'Waraqa (TKG-01)'!F34+'Waraqa (TKG-01)'!F41</f>
        <v/>
      </c>
    </row>
    <row r="17">
      <c r="A17" s="5" t="inlineStr">
        <is>
          <t>Nama CRO Total Costs</t>
        </is>
      </c>
      <c r="B17" s="6">
        <f>'Nama CRO (TKG-02)'!B21+'Nama CRO (TKG-02)'!B32+'Nama CRO (TKG-02)'!B39</f>
        <v/>
      </c>
      <c r="C17" s="6">
        <f>'Nama CRO (TKG-02)'!C21+'Nama CRO (TKG-02)'!C32+'Nama CRO (TKG-02)'!C39</f>
        <v/>
      </c>
      <c r="D17" s="6">
        <f>'Nama CRO (TKG-02)'!D21+'Nama CRO (TKG-02)'!D32+'Nama CRO (TKG-02)'!D39</f>
        <v/>
      </c>
      <c r="E17" s="6">
        <f>'Nama CRO (TKG-02)'!E21+'Nama CRO (TKG-02)'!E32+'Nama CRO (TKG-02)'!E39</f>
        <v/>
      </c>
      <c r="F17" s="6">
        <f>'Nama CRO (TKG-02)'!F21+'Nama CRO (TKG-02)'!F32+'Nama CRO (TKG-02)'!F39</f>
        <v/>
      </c>
    </row>
    <row r="18">
      <c r="A18" s="5" t="inlineStr">
        <is>
          <t>Nama Academy Total Costs</t>
        </is>
      </c>
      <c r="B18" s="6">
        <f>'Nama Academy (TKG-03)'!B23+'Nama Academy (TKG-03)'!B33+'Nama Academy (TKG-03)'!B40</f>
        <v/>
      </c>
      <c r="C18" s="6">
        <f>'Nama Academy (TKG-03)'!C23+'Nama Academy (TKG-03)'!C33+'Nama Academy (TKG-03)'!C40</f>
        <v/>
      </c>
      <c r="D18" s="6">
        <f>'Nama Academy (TKG-03)'!D23+'Nama Academy (TKG-03)'!D33+'Nama Academy (TKG-03)'!D40</f>
        <v/>
      </c>
      <c r="E18" s="6">
        <f>'Nama Academy (TKG-03)'!E23+'Nama Academy (TKG-03)'!E33+'Nama Academy (TKG-03)'!E40</f>
        <v/>
      </c>
      <c r="F18" s="6">
        <f>'Nama Academy (TKG-03)'!F23+'Nama Academy (TKG-03)'!F33+'Nama Academy (TKG-03)'!F40</f>
        <v/>
      </c>
    </row>
    <row r="19">
      <c r="A19" s="5" t="inlineStr">
        <is>
          <t>Nama Bio Total Costs</t>
        </is>
      </c>
      <c r="B19" s="6">
        <f>'Nama Bio (TKG-04)'!B15+'Nama Bio (TKG-04)'!B28+'Nama Bio (TKG-04)'!B35</f>
        <v/>
      </c>
      <c r="C19" s="6">
        <f>'Nama Bio (TKG-04)'!C15+'Nama Bio (TKG-04)'!C28+'Nama Bio (TKG-04)'!C35</f>
        <v/>
      </c>
      <c r="D19" s="6">
        <f>'Nama Bio (TKG-04)'!D15+'Nama Bio (TKG-04)'!D28+'Nama Bio (TKG-04)'!D35</f>
        <v/>
      </c>
      <c r="E19" s="6">
        <f>'Nama Bio (TKG-04)'!E15+'Nama Bio (TKG-04)'!E28+'Nama Bio (TKG-04)'!E35</f>
        <v/>
      </c>
      <c r="F19" s="6">
        <f>'Nama Bio (TKG-04)'!F15+'Nama Bio (TKG-04)'!F28+'Nama Bio (TKG-04)'!F35</f>
        <v/>
      </c>
    </row>
    <row r="20">
      <c r="A20" s="5" t="inlineStr">
        <is>
          <t>Saudi Evidence Total Costs</t>
        </is>
      </c>
      <c r="B20" s="6">
        <f>'Saudi Evidence (TKG-05)'!B18+'Saudi Evidence (TKG-05)'!B28+'Saudi Evidence (TKG-05)'!B35</f>
        <v/>
      </c>
      <c r="C20" s="6">
        <f>'Saudi Evidence (TKG-05)'!C18+'Saudi Evidence (TKG-05)'!C28+'Saudi Evidence (TKG-05)'!C35</f>
        <v/>
      </c>
      <c r="D20" s="6">
        <f>'Saudi Evidence (TKG-05)'!D18+'Saudi Evidence (TKG-05)'!D28+'Saudi Evidence (TKG-05)'!D35</f>
        <v/>
      </c>
      <c r="E20" s="6">
        <f>'Saudi Evidence (TKG-05)'!E18+'Saudi Evidence (TKG-05)'!E28+'Saudi Evidence (TKG-05)'!E35</f>
        <v/>
      </c>
      <c r="F20" s="6">
        <f>'Saudi Evidence (TKG-05)'!F18+'Saudi Evidence (TKG-05)'!F28+'Saudi Evidence (TKG-05)'!F35</f>
        <v/>
      </c>
    </row>
    <row r="21">
      <c r="A21" s="7" t="inlineStr">
        <is>
          <t>TOTAL COSTS</t>
        </is>
      </c>
      <c r="B21" s="8">
        <f>SUM(B16:B20)</f>
        <v/>
      </c>
      <c r="C21" s="8">
        <f>SUM(C16:C20)</f>
        <v/>
      </c>
      <c r="D21" s="8">
        <f>SUM(D16:D20)</f>
        <v/>
      </c>
      <c r="E21" s="8">
        <f>SUM(E16:E20)</f>
        <v/>
      </c>
      <c r="F21" s="8">
        <f>SUM(F16:F20)</f>
        <v/>
      </c>
    </row>
    <row r="23">
      <c r="A23" s="4" t="inlineStr">
        <is>
          <t>EBITDA BY ENTITY</t>
        </is>
      </c>
      <c r="B23" s="4" t="n"/>
      <c r="C23" s="4" t="n"/>
      <c r="D23" s="4" t="n"/>
      <c r="E23" s="4" t="n"/>
      <c r="F23" s="4" t="n"/>
    </row>
    <row r="24">
      <c r="A24" s="5" t="inlineStr">
        <is>
          <t>Waraqa EBITDA</t>
        </is>
      </c>
      <c r="B24" s="6">
        <f>'Waraqa (TKG-01)'!B45</f>
        <v/>
      </c>
      <c r="C24" s="6">
        <f>'Waraqa (TKG-01)'!C45</f>
        <v/>
      </c>
      <c r="D24" s="6">
        <f>'Waraqa (TKG-01)'!D45</f>
        <v/>
      </c>
      <c r="E24" s="6">
        <f>'Waraqa (TKG-01)'!E45</f>
        <v/>
      </c>
      <c r="F24" s="6">
        <f>'Waraqa (TKG-01)'!F45</f>
        <v/>
      </c>
    </row>
    <row r="25">
      <c r="A25" s="5" t="inlineStr">
        <is>
          <t>Nama CRO EBITDA</t>
        </is>
      </c>
      <c r="B25" s="6">
        <f>'Nama CRO (TKG-02)'!B43</f>
        <v/>
      </c>
      <c r="C25" s="6">
        <f>'Nama CRO (TKG-02)'!C43</f>
        <v/>
      </c>
      <c r="D25" s="6">
        <f>'Nama CRO (TKG-02)'!D43</f>
        <v/>
      </c>
      <c r="E25" s="6">
        <f>'Nama CRO (TKG-02)'!E43</f>
        <v/>
      </c>
      <c r="F25" s="6">
        <f>'Nama CRO (TKG-02)'!F43</f>
        <v/>
      </c>
    </row>
    <row r="26">
      <c r="A26" s="5" t="inlineStr">
        <is>
          <t>Nama Academy EBITDA</t>
        </is>
      </c>
      <c r="B26" s="6">
        <f>'Nama Academy (TKG-03)'!B44</f>
        <v/>
      </c>
      <c r="C26" s="6">
        <f>'Nama Academy (TKG-03)'!C44</f>
        <v/>
      </c>
      <c r="D26" s="6">
        <f>'Nama Academy (TKG-03)'!D44</f>
        <v/>
      </c>
      <c r="E26" s="6">
        <f>'Nama Academy (TKG-03)'!E44</f>
        <v/>
      </c>
      <c r="F26" s="6">
        <f>'Nama Academy (TKG-03)'!F44</f>
        <v/>
      </c>
    </row>
    <row r="27">
      <c r="A27" s="5" t="inlineStr">
        <is>
          <t>Nama Bio EBITDA</t>
        </is>
      </c>
      <c r="B27" s="6">
        <f>'Nama Bio (TKG-04)'!B39</f>
        <v/>
      </c>
      <c r="C27" s="6">
        <f>'Nama Bio (TKG-04)'!C39</f>
        <v/>
      </c>
      <c r="D27" s="6">
        <f>'Nama Bio (TKG-04)'!D39</f>
        <v/>
      </c>
      <c r="E27" s="6">
        <f>'Nama Bio (TKG-04)'!E39</f>
        <v/>
      </c>
      <c r="F27" s="6">
        <f>'Nama Bio (TKG-04)'!F39</f>
        <v/>
      </c>
    </row>
    <row r="28">
      <c r="A28" s="5" t="inlineStr">
        <is>
          <t>Saudi Evidence EBITDA</t>
        </is>
      </c>
      <c r="B28" s="6">
        <f>'Saudi Evidence (TKG-05)'!B39</f>
        <v/>
      </c>
      <c r="C28" s="6">
        <f>'Saudi Evidence (TKG-05)'!C39</f>
        <v/>
      </c>
      <c r="D28" s="6">
        <f>'Saudi Evidence (TKG-05)'!D39</f>
        <v/>
      </c>
      <c r="E28" s="6">
        <f>'Saudi Evidence (TKG-05)'!E39</f>
        <v/>
      </c>
      <c r="F28" s="6">
        <f>'Saudi Evidence (TKG-05)'!F39</f>
        <v/>
      </c>
    </row>
    <row r="29">
      <c r="A29" s="9" t="inlineStr">
        <is>
          <t>Holding Allocation (shared services)</t>
        </is>
      </c>
      <c r="B29" s="10" t="n">
        <v>-500</v>
      </c>
      <c r="C29" s="10" t="n">
        <v>-600</v>
      </c>
      <c r="D29" s="10" t="n">
        <v>-700</v>
      </c>
      <c r="E29" s="10" t="n">
        <v>-800</v>
      </c>
      <c r="F29" s="10" t="n">
        <v>-900</v>
      </c>
    </row>
    <row r="30">
      <c r="A30" s="7" t="inlineStr">
        <is>
          <t>TOTAL TKG EBITDA</t>
        </is>
      </c>
      <c r="B30" s="8">
        <f>SUM(B24:B29)</f>
        <v/>
      </c>
      <c r="C30" s="8">
        <f>SUM(C24:C29)</f>
        <v/>
      </c>
      <c r="D30" s="8">
        <f>SUM(D24:D29)</f>
        <v/>
      </c>
      <c r="E30" s="8">
        <f>SUM(E24:E29)</f>
        <v/>
      </c>
      <c r="F30" s="8">
        <f>SUM(F24:F29)</f>
        <v/>
      </c>
    </row>
    <row r="31">
      <c r="A31" s="11" t="inlineStr">
        <is>
          <t>TKG EBITDA Margin %</t>
        </is>
      </c>
      <c r="B31" s="13">
        <f>IF(B12=0,0,B30/B12)</f>
        <v/>
      </c>
      <c r="C31" s="13">
        <f>IF(C12=0,0,C30/C12)</f>
        <v/>
      </c>
      <c r="D31" s="13">
        <f>IF(D12=0,0,D30/D12)</f>
        <v/>
      </c>
      <c r="E31" s="13">
        <f>IF(E12=0,0,E30/E12)</f>
        <v/>
      </c>
      <c r="F31" s="13">
        <f>IF(F12=0,0,F30/F12)</f>
        <v/>
      </c>
    </row>
    <row r="32">
      <c r="A32" s="11" t="inlineStr">
        <is>
          <t>EBITDA Growth %</t>
        </is>
      </c>
      <c r="B32" s="12" t="inlineStr">
        <is>
          <t>N/A</t>
        </is>
      </c>
      <c r="C32" s="13">
        <f>IF(B30=0,0,(C30-B30)/B30)</f>
        <v/>
      </c>
      <c r="D32" s="13">
        <f>IF(C30=0,0,(D30-C30)/C30)</f>
        <v/>
      </c>
      <c r="E32" s="13">
        <f>IF(D30=0,0,(E30-D30)/D30)</f>
        <v/>
      </c>
      <c r="F32" s="13">
        <f>IF(E30=0,0,(F30-E30)/E30)</f>
        <v/>
      </c>
    </row>
    <row r="34">
      <c r="A34" s="4" t="inlineStr">
        <is>
          <t>HEADCOUNT BY ENTITY</t>
        </is>
      </c>
      <c r="B34" s="4" t="n"/>
      <c r="C34" s="4" t="n"/>
      <c r="D34" s="4" t="n"/>
      <c r="E34" s="4" t="n"/>
      <c r="F34" s="4" t="n"/>
    </row>
    <row r="35">
      <c r="A35" s="5" t="inlineStr">
        <is>
          <t>Waraqa</t>
        </is>
      </c>
      <c r="B35" s="6">
        <f>'Waraqa (TKG-01)'!B52</f>
        <v/>
      </c>
      <c r="C35" s="6">
        <f>'Waraqa (TKG-01)'!C52</f>
        <v/>
      </c>
      <c r="D35" s="6">
        <f>'Waraqa (TKG-01)'!D52</f>
        <v/>
      </c>
      <c r="E35" s="6">
        <f>'Waraqa (TKG-01)'!E52</f>
        <v/>
      </c>
      <c r="F35" s="6">
        <f>'Waraqa (TKG-01)'!F52</f>
        <v/>
      </c>
    </row>
    <row r="36">
      <c r="A36" s="5" t="inlineStr">
        <is>
          <t>Nama CRO</t>
        </is>
      </c>
      <c r="B36" s="6">
        <f>'Nama CRO (TKG-02)'!B47</f>
        <v/>
      </c>
      <c r="C36" s="6">
        <f>'Nama CRO (TKG-02)'!C47</f>
        <v/>
      </c>
      <c r="D36" s="6">
        <f>'Nama CRO (TKG-02)'!D47</f>
        <v/>
      </c>
      <c r="E36" s="6">
        <f>'Nama CRO (TKG-02)'!E47</f>
        <v/>
      </c>
      <c r="F36" s="6">
        <f>'Nama CRO (TKG-02)'!F47</f>
        <v/>
      </c>
    </row>
    <row r="37">
      <c r="A37" s="5" t="inlineStr">
        <is>
          <t>Nama Academy</t>
        </is>
      </c>
      <c r="B37" s="6">
        <f>'Nama Academy (TKG-03)'!B48</f>
        <v/>
      </c>
      <c r="C37" s="6">
        <f>'Nama Academy (TKG-03)'!C48</f>
        <v/>
      </c>
      <c r="D37" s="6">
        <f>'Nama Academy (TKG-03)'!D48</f>
        <v/>
      </c>
      <c r="E37" s="6">
        <f>'Nama Academy (TKG-03)'!E48</f>
        <v/>
      </c>
      <c r="F37" s="6">
        <f>'Nama Academy (TKG-03)'!F48</f>
        <v/>
      </c>
    </row>
    <row r="38">
      <c r="A38" s="5" t="inlineStr">
        <is>
          <t>Nama Bio</t>
        </is>
      </c>
      <c r="B38" s="6">
        <f>'Nama Bio (TKG-04)'!B49</f>
        <v/>
      </c>
      <c r="C38" s="6">
        <f>'Nama Bio (TKG-04)'!C49</f>
        <v/>
      </c>
      <c r="D38" s="6">
        <f>'Nama Bio (TKG-04)'!D49</f>
        <v/>
      </c>
      <c r="E38" s="6">
        <f>'Nama Bio (TKG-04)'!E49</f>
        <v/>
      </c>
      <c r="F38" s="6">
        <f>'Nama Bio (TKG-04)'!F49</f>
        <v/>
      </c>
    </row>
    <row r="39">
      <c r="A39" s="5" t="inlineStr">
        <is>
          <t>Saudi Evidence</t>
        </is>
      </c>
      <c r="B39" s="6">
        <f>'Saudi Evidence (TKG-05)'!B43</f>
        <v/>
      </c>
      <c r="C39" s="6">
        <f>'Saudi Evidence (TKG-05)'!C43</f>
        <v/>
      </c>
      <c r="D39" s="6">
        <f>'Saudi Evidence (TKG-05)'!D43</f>
        <v/>
      </c>
      <c r="E39" s="6">
        <f>'Saudi Evidence (TKG-05)'!E43</f>
        <v/>
      </c>
      <c r="F39" s="6">
        <f>'Saudi Evidence (TKG-05)'!F43</f>
        <v/>
      </c>
    </row>
    <row r="40">
      <c r="A40" s="7" t="inlineStr">
        <is>
          <t>TOTAL TKG HEADCOUNT</t>
        </is>
      </c>
      <c r="B40" s="8">
        <f>SUM(B35:B39)</f>
        <v/>
      </c>
      <c r="C40" s="8">
        <f>SUM(C35:C39)</f>
        <v/>
      </c>
      <c r="D40" s="8">
        <f>SUM(D35:D39)</f>
        <v/>
      </c>
      <c r="E40" s="8">
        <f>SUM(E35:E39)</f>
        <v/>
      </c>
      <c r="F40" s="8">
        <f>SUM(F35:F39)</f>
        <v/>
      </c>
    </row>
    <row r="42">
      <c r="A42" s="4" t="inlineStr">
        <is>
          <t>CAPITAL DEPLOYMENT (SAR '000)</t>
        </is>
      </c>
      <c r="B42" s="4" t="n"/>
      <c r="C42" s="4" t="n"/>
      <c r="D42" s="4" t="n"/>
      <c r="E42" s="4" t="n"/>
      <c r="F42" s="4" t="n"/>
    </row>
    <row r="43">
      <c r="A43" s="14" t="inlineStr">
        <is>
          <t>Nama CRO (Alfaisaliah Equity)</t>
        </is>
      </c>
      <c r="B43" s="15" t="n">
        <v>9375</v>
      </c>
      <c r="C43" s="15" t="n">
        <v>7500</v>
      </c>
      <c r="D43" s="15" t="n">
        <v>1875</v>
      </c>
      <c r="E43" s="15" t="n">
        <v>0</v>
      </c>
      <c r="F43" s="15" t="n">
        <v>0</v>
      </c>
    </row>
    <row r="44">
      <c r="A44" s="14" t="inlineStr">
        <is>
          <t>Nama Bio (Govt Grant + Equity)</t>
        </is>
      </c>
      <c r="B44" s="15" t="n">
        <v>8206</v>
      </c>
      <c r="C44" s="15" t="n">
        <v>1400</v>
      </c>
      <c r="D44" s="15" t="n">
        <v>1150</v>
      </c>
      <c r="E44" s="15" t="n">
        <v>0</v>
      </c>
      <c r="F44" s="15" t="n">
        <v>0</v>
      </c>
    </row>
    <row r="45">
      <c r="A45" s="14" t="inlineStr">
        <is>
          <t>Saudi Evidence (Govt Grants)</t>
        </is>
      </c>
      <c r="B45" s="15" t="n">
        <v>3000</v>
      </c>
      <c r="C45" s="15" t="n">
        <v>4000</v>
      </c>
      <c r="D45" s="15" t="n">
        <v>3000</v>
      </c>
      <c r="E45" s="15" t="n">
        <v>0</v>
      </c>
      <c r="F45" s="15" t="n">
        <v>0</v>
      </c>
    </row>
    <row r="46">
      <c r="A46" s="14" t="inlineStr">
        <is>
          <t>Waraqa (Self-funded)</t>
        </is>
      </c>
      <c r="B46" s="15" t="n">
        <v>0</v>
      </c>
      <c r="C46" s="15" t="n">
        <v>0</v>
      </c>
      <c r="D46" s="15" t="n">
        <v>0</v>
      </c>
      <c r="E46" s="15" t="n">
        <v>0</v>
      </c>
      <c r="F46" s="15" t="n">
        <v>0</v>
      </c>
    </row>
    <row r="47">
      <c r="A47" s="14" t="inlineStr">
        <is>
          <t>Nama Academy (Waraqa Transfer)</t>
        </is>
      </c>
      <c r="B47" s="15" t="n">
        <v>400</v>
      </c>
      <c r="C47" s="15" t="n">
        <v>400</v>
      </c>
      <c r="D47" s="15" t="n">
        <v>500</v>
      </c>
      <c r="E47" s="15" t="n">
        <v>500</v>
      </c>
      <c r="F47" s="15" t="n">
        <v>500</v>
      </c>
    </row>
    <row r="48">
      <c r="A48" s="7" t="inlineStr">
        <is>
          <t>TOTAL CAPITAL REQUIRED</t>
        </is>
      </c>
      <c r="B48" s="8">
        <f>SUM(B43:B47)</f>
        <v/>
      </c>
      <c r="C48" s="8">
        <f>SUM(C43:C47)</f>
        <v/>
      </c>
      <c r="D48" s="8">
        <f>SUM(D43:D47)</f>
        <v/>
      </c>
      <c r="E48" s="8">
        <f>SUM(E43:E47)</f>
        <v/>
      </c>
      <c r="F48" s="8">
        <f>SUM(F43:F47)</f>
        <v/>
      </c>
    </row>
    <row r="50">
      <c r="A50" s="4" t="inlineStr">
        <is>
          <t>KEY RATIOS</t>
        </is>
      </c>
      <c r="B50" s="4" t="n"/>
      <c r="C50" s="4" t="n"/>
      <c r="D50" s="4" t="n"/>
      <c r="E50" s="4" t="n"/>
      <c r="F50" s="4" t="n"/>
    </row>
    <row r="51">
      <c r="A51" s="16" t="inlineStr">
        <is>
          <t>Revenue per Employee</t>
        </is>
      </c>
      <c r="B51" s="17">
        <f>IF(B40=0,0,B12/B40)</f>
        <v/>
      </c>
      <c r="C51" s="17">
        <f>IF(C40=0,0,C12/C40)</f>
        <v/>
      </c>
      <c r="D51" s="17">
        <f>IF(D40=0,0,D12/D40)</f>
        <v/>
      </c>
      <c r="E51" s="17">
        <f>IF(E40=0,0,E12/E40)</f>
        <v/>
      </c>
      <c r="F51" s="17">
        <f>IF(F40=0,0,F12/F40)</f>
        <v/>
      </c>
    </row>
    <row r="52">
      <c r="A52" s="16" t="inlineStr">
        <is>
          <t>EBITDA per Employee</t>
        </is>
      </c>
      <c r="B52" s="17">
        <f>IF(B40=0,0,B30/B40)</f>
        <v/>
      </c>
      <c r="C52" s="17">
        <f>IF(C40=0,0,C30/C40)</f>
        <v/>
      </c>
      <c r="D52" s="17">
        <f>IF(D40=0,0,D30/D40)</f>
        <v/>
      </c>
      <c r="E52" s="17">
        <f>IF(E40=0,0,E30/E40)</f>
        <v/>
      </c>
      <c r="F52" s="17">
        <f>IF(F40=0,0,F30/F40)</f>
        <v/>
      </c>
    </row>
    <row r="53">
      <c r="A53" s="16" t="inlineStr">
        <is>
          <t>Cost per Employee</t>
        </is>
      </c>
      <c r="B53" s="17">
        <f>IF(B40=0,0,B21/B40)</f>
        <v/>
      </c>
      <c r="C53" s="17">
        <f>IF(C40=0,0,C21/C40)</f>
        <v/>
      </c>
      <c r="D53" s="17">
        <f>IF(D40=0,0,D21/D40)</f>
        <v/>
      </c>
      <c r="E53" s="17">
        <f>IF(E40=0,0,E21/E40)</f>
        <v/>
      </c>
      <c r="F53" s="17">
        <f>IF(F40=0,0,F21/F40)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8" t="inlineStr">
        <is>
          <t>WARAQA PUBLISHING HOUSE (TKG-01)</t>
        </is>
      </c>
    </row>
    <row r="2">
      <c r="A2" s="2" t="inlineStr">
        <is>
          <t>P&amp;L Statement | SAR Thousands | Conservative</t>
        </is>
      </c>
    </row>
    <row r="3">
      <c r="A3" s="3" t="inlineStr"/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</row>
    <row r="4">
      <c r="A4" s="4" t="inlineStr">
        <is>
          <t>REVENUE</t>
        </is>
      </c>
      <c r="B4" s="4" t="n"/>
      <c r="C4" s="4" t="n"/>
      <c r="D4" s="4" t="n"/>
      <c r="E4" s="4" t="n"/>
      <c r="F4" s="4" t="n"/>
    </row>
    <row r="5">
      <c r="A5" s="14" t="inlineStr">
        <is>
          <t>1. Society Journal Publishing</t>
        </is>
      </c>
      <c r="B5" s="15" t="n">
        <v>234</v>
      </c>
      <c r="C5" s="15" t="n">
        <v>860</v>
      </c>
      <c r="D5" s="15" t="n">
        <v>3600</v>
      </c>
      <c r="E5" s="15" t="n">
        <v>5400</v>
      </c>
      <c r="F5" s="15" t="n">
        <v>7200</v>
      </c>
    </row>
    <row r="6">
      <c r="A6" s="14" t="inlineStr">
        <is>
          <t>2. University Preprint Platform</t>
        </is>
      </c>
      <c r="B6" s="15" t="n">
        <v>24</v>
      </c>
      <c r="C6" s="15" t="n">
        <v>200</v>
      </c>
      <c r="D6" s="15" t="n">
        <v>1500</v>
      </c>
      <c r="E6" s="15" t="n">
        <v>2500</v>
      </c>
      <c r="F6" s="15" t="n">
        <v>3500</v>
      </c>
    </row>
    <row r="7">
      <c r="A7" s="14" t="inlineStr">
        <is>
          <t>3. Funded Journal Operations</t>
        </is>
      </c>
      <c r="B7" s="15" t="n">
        <v>360</v>
      </c>
      <c r="C7" s="15" t="n">
        <v>480</v>
      </c>
      <c r="D7" s="15" t="n">
        <v>650</v>
      </c>
      <c r="E7" s="15" t="n">
        <v>700</v>
      </c>
      <c r="F7" s="15" t="n">
        <v>750</v>
      </c>
    </row>
    <row r="8">
      <c r="A8" s="14" t="inlineStr">
        <is>
          <t>4. Research Integrity Services</t>
        </is>
      </c>
      <c r="B8" s="15" t="n">
        <v>360</v>
      </c>
      <c r="C8" s="15" t="n">
        <v>800</v>
      </c>
      <c r="D8" s="15" t="n">
        <v>1800</v>
      </c>
      <c r="E8" s="15" t="n">
        <v>2700</v>
      </c>
      <c r="F8" s="15" t="n">
        <v>3500</v>
      </c>
    </row>
    <row r="9">
      <c r="A9" s="14" t="inlineStr">
        <is>
          <t>5. Conference Proceedings</t>
        </is>
      </c>
      <c r="B9" s="15" t="n">
        <v>240</v>
      </c>
      <c r="C9" s="15" t="n">
        <v>500</v>
      </c>
      <c r="D9" s="15" t="n">
        <v>1200</v>
      </c>
      <c r="E9" s="15" t="n">
        <v>1800</v>
      </c>
      <c r="F9" s="15" t="n">
        <v>2400</v>
      </c>
    </row>
    <row r="10">
      <c r="A10" s="14" t="inlineStr">
        <is>
          <t>6. Ecosystem Cross-Group</t>
        </is>
      </c>
      <c r="B10" s="15" t="n">
        <v>100</v>
      </c>
      <c r="C10" s="15" t="n">
        <v>300</v>
      </c>
      <c r="D10" s="15" t="n">
        <v>700</v>
      </c>
      <c r="E10" s="15" t="n">
        <v>1000</v>
      </c>
      <c r="F10" s="15" t="n">
        <v>1500</v>
      </c>
    </row>
    <row r="11">
      <c r="A11" s="14" t="inlineStr">
        <is>
          <t>7. AI Content Licensing</t>
        </is>
      </c>
      <c r="B11" s="15" t="n">
        <v>0</v>
      </c>
      <c r="C11" s="15" t="n">
        <v>500</v>
      </c>
      <c r="D11" s="15" t="n">
        <v>2000</v>
      </c>
      <c r="E11" s="15" t="n">
        <v>4000</v>
      </c>
      <c r="F11" s="15" t="n">
        <v>7000</v>
      </c>
    </row>
    <row r="12">
      <c r="A12" s="14" t="inlineStr">
        <is>
          <t>8. PubHelper Services</t>
        </is>
      </c>
      <c r="B12" s="15" t="n">
        <v>400</v>
      </c>
      <c r="C12" s="15" t="n">
        <v>800</v>
      </c>
      <c r="D12" s="15" t="n">
        <v>1500</v>
      </c>
      <c r="E12" s="15" t="n">
        <v>2500</v>
      </c>
      <c r="F12" s="15" t="n">
        <v>3500</v>
      </c>
    </row>
    <row r="13">
      <c r="A13" s="14" t="inlineStr">
        <is>
          <t>9. Physician Reputation Platform</t>
        </is>
      </c>
      <c r="B13" s="15" t="n">
        <v>200</v>
      </c>
      <c r="C13" s="15" t="n">
        <v>1200</v>
      </c>
      <c r="D13" s="15" t="n">
        <v>3000</v>
      </c>
      <c r="E13" s="15" t="n">
        <v>5000</v>
      </c>
      <c r="F13" s="15" t="n">
        <v>7000</v>
      </c>
    </row>
    <row r="14">
      <c r="A14" s="7" t="inlineStr">
        <is>
          <t>TOTAL REVENUE</t>
        </is>
      </c>
      <c r="B14" s="8">
        <f>SUM(B5:B13)</f>
        <v/>
      </c>
      <c r="C14" s="8">
        <f>SUM(C5:C13)</f>
        <v/>
      </c>
      <c r="D14" s="8">
        <f>SUM(D5:D13)</f>
        <v/>
      </c>
      <c r="E14" s="8">
        <f>SUM(E5:E13)</f>
        <v/>
      </c>
      <c r="F14" s="8">
        <f>SUM(F5:F13)</f>
        <v/>
      </c>
    </row>
    <row r="15">
      <c r="A15" s="11" t="inlineStr">
        <is>
          <t>Revenue Growth %</t>
        </is>
      </c>
      <c r="B15" s="12" t="inlineStr">
        <is>
          <t>N/A</t>
        </is>
      </c>
      <c r="C15" s="13">
        <f>IF(B14=0,0,(C14-B14)/B14)</f>
        <v/>
      </c>
      <c r="D15" s="13">
        <f>IF(C14=0,0,(D14-C14)/C14)</f>
        <v/>
      </c>
      <c r="E15" s="13">
        <f>IF(D14=0,0,(E14-D14)/D14)</f>
        <v/>
      </c>
      <c r="F15" s="13">
        <f>IF(E14=0,0,(F14-E14)/E14)</f>
        <v/>
      </c>
    </row>
    <row r="17">
      <c r="A17" s="4" t="inlineStr">
        <is>
          <t>DIRECT COSTS (COGS)</t>
        </is>
      </c>
      <c r="B17" s="4" t="n"/>
      <c r="C17" s="4" t="n"/>
      <c r="D17" s="4" t="n"/>
      <c r="E17" s="4" t="n"/>
      <c r="F17" s="4" t="n"/>
    </row>
    <row r="18">
      <c r="A18" s="14" t="inlineStr">
        <is>
          <t xml:space="preserve">  Editorial &amp; Content Production</t>
        </is>
      </c>
      <c r="B18" s="15" t="n">
        <v>350</v>
      </c>
      <c r="C18" s="15" t="n">
        <v>600</v>
      </c>
      <c r="D18" s="15" t="n">
        <v>1400</v>
      </c>
      <c r="E18" s="15" t="n">
        <v>2200</v>
      </c>
      <c r="F18" s="15" t="n">
        <v>3000</v>
      </c>
    </row>
    <row r="19">
      <c r="A19" s="14" t="inlineStr">
        <is>
          <t xml:space="preserve">  Platform &amp; Technology</t>
        </is>
      </c>
      <c r="B19" s="15" t="n">
        <v>150</v>
      </c>
      <c r="C19" s="15" t="n">
        <v>300</v>
      </c>
      <c r="D19" s="15" t="n">
        <v>600</v>
      </c>
      <c r="E19" s="15" t="n">
        <v>900</v>
      </c>
      <c r="F19" s="15" t="n">
        <v>1200</v>
      </c>
    </row>
    <row r="20">
      <c r="A20" s="14" t="inlineStr">
        <is>
          <t xml:space="preserve">  Freelance Writers &amp; Editors</t>
        </is>
      </c>
      <c r="B20" s="15" t="n">
        <v>150</v>
      </c>
      <c r="C20" s="15" t="n">
        <v>300</v>
      </c>
      <c r="D20" s="15" t="n">
        <v>800</v>
      </c>
      <c r="E20" s="15" t="n">
        <v>1200</v>
      </c>
      <c r="F20" s="15" t="n">
        <v>1800</v>
      </c>
    </row>
    <row r="21">
      <c r="A21" s="14" t="inlineStr">
        <is>
          <t xml:space="preserve">  Journal Operations &amp; Indexing</t>
        </is>
      </c>
      <c r="B21" s="15" t="n">
        <v>100</v>
      </c>
      <c r="C21" s="15" t="n">
        <v>200</v>
      </c>
      <c r="D21" s="15" t="n">
        <v>400</v>
      </c>
      <c r="E21" s="15" t="n">
        <v>600</v>
      </c>
      <c r="F21" s="15" t="n">
        <v>800</v>
      </c>
    </row>
    <row r="22">
      <c r="A22" s="14" t="inlineStr">
        <is>
          <t xml:space="preserve">  AI Content Preparation</t>
        </is>
      </c>
      <c r="B22" s="15" t="n">
        <v>0</v>
      </c>
      <c r="C22" s="15" t="n">
        <v>100</v>
      </c>
      <c r="D22" s="15" t="n">
        <v>300</v>
      </c>
      <c r="E22" s="15" t="n">
        <v>600</v>
      </c>
      <c r="F22" s="15" t="n">
        <v>700</v>
      </c>
    </row>
    <row r="23">
      <c r="A23" s="7" t="inlineStr">
        <is>
          <t>TOTAL COGS</t>
        </is>
      </c>
      <c r="B23" s="8">
        <f>SUM(B18:B22)</f>
        <v/>
      </c>
      <c r="C23" s="8">
        <f>SUM(C18:C22)</f>
        <v/>
      </c>
      <c r="D23" s="8">
        <f>SUM(D18:D22)</f>
        <v/>
      </c>
      <c r="E23" s="8">
        <f>SUM(E18:E22)</f>
        <v/>
      </c>
      <c r="F23" s="8">
        <f>SUM(F18:F22)</f>
        <v/>
      </c>
    </row>
    <row r="24">
      <c r="A24" s="19" t="inlineStr">
        <is>
          <t>GROSS PROFIT</t>
        </is>
      </c>
      <c r="B24" s="20">
        <f>B14-B23</f>
        <v/>
      </c>
      <c r="C24" s="20">
        <f>C14-C23</f>
        <v/>
      </c>
      <c r="D24" s="20">
        <f>D14-D23</f>
        <v/>
      </c>
      <c r="E24" s="20">
        <f>E14-E23</f>
        <v/>
      </c>
      <c r="F24" s="20">
        <f>F14-F23</f>
        <v/>
      </c>
    </row>
    <row r="25">
      <c r="A25" s="11" t="inlineStr">
        <is>
          <t>Gross Margin %</t>
        </is>
      </c>
      <c r="B25" s="13">
        <f>IF(B14=0,0,B24/B14)</f>
        <v/>
      </c>
      <c r="C25" s="13">
        <f>IF(C14=0,0,C24/C14)</f>
        <v/>
      </c>
      <c r="D25" s="13">
        <f>IF(D14=0,0,D24/D14)</f>
        <v/>
      </c>
      <c r="E25" s="13">
        <f>IF(E14=0,0,E24/E14)</f>
        <v/>
      </c>
      <c r="F25" s="13">
        <f>IF(F14=0,0,F24/F14)</f>
        <v/>
      </c>
    </row>
    <row r="27">
      <c r="A27" s="4" t="inlineStr">
        <is>
          <t>GENERAL &amp; ADMINISTRATIVE</t>
        </is>
      </c>
      <c r="B27" s="4" t="n"/>
      <c r="C27" s="4" t="n"/>
      <c r="D27" s="4" t="n"/>
      <c r="E27" s="4" t="n"/>
      <c r="F27" s="4" t="n"/>
    </row>
    <row r="28">
      <c r="A28" s="14" t="inlineStr">
        <is>
          <t xml:space="preserve">  Staff Salaries (editorial + ops)</t>
        </is>
      </c>
      <c r="B28" s="15" t="n">
        <v>350</v>
      </c>
      <c r="C28" s="15" t="n">
        <v>500</v>
      </c>
      <c r="D28" s="15" t="n">
        <v>750</v>
      </c>
      <c r="E28" s="15" t="n">
        <v>950</v>
      </c>
      <c r="F28" s="15" t="n">
        <v>1200</v>
      </c>
    </row>
    <row r="29">
      <c r="A29" s="14" t="inlineStr">
        <is>
          <t xml:space="preserve">  Rent &amp; Office</t>
        </is>
      </c>
      <c r="B29" s="15" t="n">
        <v>80</v>
      </c>
      <c r="C29" s="15" t="n">
        <v>100</v>
      </c>
      <c r="D29" s="15" t="n">
        <v>150</v>
      </c>
      <c r="E29" s="15" t="n">
        <v>200</v>
      </c>
      <c r="F29" s="15" t="n">
        <v>250</v>
      </c>
    </row>
    <row r="30">
      <c r="A30" s="14" t="inlineStr">
        <is>
          <t xml:space="preserve">  IT Infrastructure</t>
        </is>
      </c>
      <c r="B30" s="15" t="n">
        <v>50</v>
      </c>
      <c r="C30" s="15" t="n">
        <v>80</v>
      </c>
      <c r="D30" s="15" t="n">
        <v>120</v>
      </c>
      <c r="E30" s="15" t="n">
        <v>150</v>
      </c>
      <c r="F30" s="15" t="n">
        <v>180</v>
      </c>
    </row>
    <row r="31">
      <c r="A31" s="14" t="inlineStr">
        <is>
          <t xml:space="preserve">  Legal &amp; Compliance</t>
        </is>
      </c>
      <c r="B31" s="15" t="n">
        <v>40</v>
      </c>
      <c r="C31" s="15" t="n">
        <v>50</v>
      </c>
      <c r="D31" s="15" t="n">
        <v>70</v>
      </c>
      <c r="E31" s="15" t="n">
        <v>80</v>
      </c>
      <c r="F31" s="15" t="n">
        <v>100</v>
      </c>
    </row>
    <row r="32">
      <c r="A32" s="14" t="inlineStr">
        <is>
          <t xml:space="preserve">  International Advisory</t>
        </is>
      </c>
      <c r="B32" s="15" t="n">
        <v>80</v>
      </c>
      <c r="C32" s="15" t="n">
        <v>70</v>
      </c>
      <c r="D32" s="15" t="n">
        <v>60</v>
      </c>
      <c r="E32" s="15" t="n">
        <v>50</v>
      </c>
      <c r="F32" s="15" t="n">
        <v>50</v>
      </c>
    </row>
    <row r="33">
      <c r="A33" s="14" t="inlineStr">
        <is>
          <t xml:space="preserve">  Hiring &amp; Training</t>
        </is>
      </c>
      <c r="B33" s="15" t="n">
        <v>30</v>
      </c>
      <c r="C33" s="15" t="n">
        <v>40</v>
      </c>
      <c r="D33" s="15" t="n">
        <v>50</v>
      </c>
      <c r="E33" s="15" t="n">
        <v>60</v>
      </c>
      <c r="F33" s="15" t="n">
        <v>70</v>
      </c>
    </row>
    <row r="34">
      <c r="A34" s="7" t="inlineStr">
        <is>
          <t>TOTAL G&amp;A</t>
        </is>
      </c>
      <c r="B34" s="8">
        <f>SUM(B28:B33)</f>
        <v/>
      </c>
      <c r="C34" s="8">
        <f>SUM(C28:C33)</f>
        <v/>
      </c>
      <c r="D34" s="8">
        <f>SUM(D28:D33)</f>
        <v/>
      </c>
      <c r="E34" s="8">
        <f>SUM(E28:E33)</f>
        <v/>
      </c>
      <c r="F34" s="8">
        <f>SUM(F28:F33)</f>
        <v/>
      </c>
    </row>
    <row r="36">
      <c r="A36" s="4" t="inlineStr">
        <is>
          <t>SALES &amp; MARKETING</t>
        </is>
      </c>
      <c r="B36" s="4" t="n"/>
      <c r="C36" s="4" t="n"/>
      <c r="D36" s="4" t="n"/>
      <c r="E36" s="4" t="n"/>
      <c r="F36" s="4" t="n"/>
    </row>
    <row r="37">
      <c r="A37" s="14" t="inlineStr">
        <is>
          <t xml:space="preserve">  Sales &amp; Marketing Staff</t>
        </is>
      </c>
      <c r="B37" s="15" t="n">
        <v>80</v>
      </c>
      <c r="C37" s="15" t="n">
        <v>120</v>
      </c>
      <c r="D37" s="15" t="n">
        <v>200</v>
      </c>
      <c r="E37" s="15" t="n">
        <v>300</v>
      </c>
      <c r="F37" s="15" t="n">
        <v>400</v>
      </c>
    </row>
    <row r="38">
      <c r="A38" s="14" t="inlineStr">
        <is>
          <t xml:space="preserve">  Business Development</t>
        </is>
      </c>
      <c r="B38" s="15" t="n">
        <v>60</v>
      </c>
      <c r="C38" s="15" t="n">
        <v>100</v>
      </c>
      <c r="D38" s="15" t="n">
        <v>150</v>
      </c>
      <c r="E38" s="15" t="n">
        <v>200</v>
      </c>
      <c r="F38" s="15" t="n">
        <v>250</v>
      </c>
    </row>
    <row r="39">
      <c r="A39" s="14" t="inlineStr">
        <is>
          <t xml:space="preserve">  Events &amp; Partnerships</t>
        </is>
      </c>
      <c r="B39" s="15" t="n">
        <v>40</v>
      </c>
      <c r="C39" s="15" t="n">
        <v>80</v>
      </c>
      <c r="D39" s="15" t="n">
        <v>100</v>
      </c>
      <c r="E39" s="15" t="n">
        <v>130</v>
      </c>
      <c r="F39" s="15" t="n">
        <v>170</v>
      </c>
    </row>
    <row r="40">
      <c r="A40" s="14" t="inlineStr">
        <is>
          <t xml:space="preserve">  Digital Marketing</t>
        </is>
      </c>
      <c r="B40" s="15" t="n">
        <v>20</v>
      </c>
      <c r="C40" s="15" t="n">
        <v>50</v>
      </c>
      <c r="D40" s="15" t="n">
        <v>50</v>
      </c>
      <c r="E40" s="15" t="n">
        <v>70</v>
      </c>
      <c r="F40" s="15" t="n">
        <v>80</v>
      </c>
    </row>
    <row r="41">
      <c r="A41" s="7" t="inlineStr">
        <is>
          <t>TOTAL S&amp;M</t>
        </is>
      </c>
      <c r="B41" s="8">
        <f>SUM(B37:B40)</f>
        <v/>
      </c>
      <c r="C41" s="8">
        <f>SUM(C37:C40)</f>
        <v/>
      </c>
      <c r="D41" s="8">
        <f>SUM(D37:D40)</f>
        <v/>
      </c>
      <c r="E41" s="8">
        <f>SUM(E37:E40)</f>
        <v/>
      </c>
      <c r="F41" s="8">
        <f>SUM(F37:F40)</f>
        <v/>
      </c>
    </row>
    <row r="43">
      <c r="A43" s="19" t="inlineStr">
        <is>
          <t>TOTAL OPERATING EXPENSES</t>
        </is>
      </c>
      <c r="B43" s="20">
        <f>B34+B41</f>
        <v/>
      </c>
      <c r="C43" s="20">
        <f>C34+C41</f>
        <v/>
      </c>
      <c r="D43" s="20">
        <f>D34+D41</f>
        <v/>
      </c>
      <c r="E43" s="20">
        <f>E34+E41</f>
        <v/>
      </c>
      <c r="F43" s="20">
        <f>F34+F41</f>
        <v/>
      </c>
    </row>
    <row r="45">
      <c r="A45" s="7" t="inlineStr">
        <is>
          <t>EBITDA</t>
        </is>
      </c>
      <c r="B45" s="8">
        <f>B24-B43</f>
        <v/>
      </c>
      <c r="C45" s="8">
        <f>C24-C43</f>
        <v/>
      </c>
      <c r="D45" s="8">
        <f>D24-D43</f>
        <v/>
      </c>
      <c r="E45" s="8">
        <f>E24-E43</f>
        <v/>
      </c>
      <c r="F45" s="8">
        <f>F24-F43</f>
        <v/>
      </c>
    </row>
    <row r="46">
      <c r="A46" s="11" t="inlineStr">
        <is>
          <t>EBITDA Margin %</t>
        </is>
      </c>
      <c r="B46" s="13">
        <f>IF(B14=0,0,B45/B14)</f>
        <v/>
      </c>
      <c r="C46" s="13">
        <f>IF(C14=0,0,C45/C14)</f>
        <v/>
      </c>
      <c r="D46" s="13">
        <f>IF(D14=0,0,D45/D14)</f>
        <v/>
      </c>
      <c r="E46" s="13">
        <f>IF(E14=0,0,E45/E14)</f>
        <v/>
      </c>
      <c r="F46" s="13">
        <f>IF(F14=0,0,F45/F14)</f>
        <v/>
      </c>
    </row>
    <row r="48">
      <c r="A48" s="9" t="inlineStr">
        <is>
          <t>Nama Academy Allocation (transfer out)</t>
        </is>
      </c>
      <c r="B48" s="10" t="n">
        <v>-400</v>
      </c>
      <c r="C48" s="10" t="n">
        <v>-400</v>
      </c>
      <c r="D48" s="10" t="n">
        <v>-500</v>
      </c>
      <c r="E48" s="10" t="n">
        <v>-500</v>
      </c>
      <c r="F48" s="10" t="n">
        <v>-500</v>
      </c>
    </row>
    <row r="49">
      <c r="A49" s="19" t="inlineStr">
        <is>
          <t>EBITDA After Allocation</t>
        </is>
      </c>
      <c r="B49" s="20">
        <f>B45+B48</f>
        <v/>
      </c>
      <c r="C49" s="20">
        <f>C45+C48</f>
        <v/>
      </c>
      <c r="D49" s="20">
        <f>D45+D48</f>
        <v/>
      </c>
      <c r="E49" s="20">
        <f>E45+E48</f>
        <v/>
      </c>
      <c r="F49" s="20">
        <f>F45+F48</f>
        <v/>
      </c>
    </row>
    <row r="51">
      <c r="A51" s="4" t="inlineStr">
        <is>
          <t>OPERATIONAL METRICS</t>
        </is>
      </c>
      <c r="B51" s="4" t="n"/>
      <c r="C51" s="4" t="n"/>
      <c r="D51" s="4" t="n"/>
      <c r="E51" s="4" t="n"/>
      <c r="F51" s="4" t="n"/>
    </row>
    <row r="52">
      <c r="A52" s="14" t="inlineStr">
        <is>
          <t>Headcount</t>
        </is>
      </c>
      <c r="B52" s="15" t="n">
        <v>8</v>
      </c>
      <c r="C52" s="15" t="n">
        <v>15</v>
      </c>
      <c r="D52" s="15" t="n">
        <v>25</v>
      </c>
      <c r="E52" s="15" t="n">
        <v>35</v>
      </c>
      <c r="F52" s="15" t="n">
        <v>45</v>
      </c>
    </row>
    <row r="53">
      <c r="A53" s="14" t="inlineStr">
        <is>
          <t>Active Society Journals</t>
        </is>
      </c>
      <c r="B53" s="15" t="n">
        <v>3</v>
      </c>
      <c r="C53" s="15" t="n">
        <v>5</v>
      </c>
      <c r="D53" s="15" t="n">
        <v>10</v>
      </c>
      <c r="E53" s="15" t="n">
        <v>15</v>
      </c>
      <c r="F53" s="15" t="n">
        <v>20</v>
      </c>
    </row>
    <row r="54">
      <c r="A54" s="14" t="inlineStr">
        <is>
          <t>University Platforms</t>
        </is>
      </c>
      <c r="B54" s="15" t="n">
        <v>1</v>
      </c>
      <c r="C54" s="15" t="n">
        <v>2</v>
      </c>
      <c r="D54" s="15" t="n">
        <v>5</v>
      </c>
      <c r="E54" s="15" t="n">
        <v>7</v>
      </c>
      <c r="F54" s="15" t="n">
        <v>10</v>
      </c>
    </row>
    <row r="55">
      <c r="A55" s="14" t="inlineStr">
        <is>
          <t>Research Integrity Clients</t>
        </is>
      </c>
      <c r="B55" s="15" t="n">
        <v>3</v>
      </c>
      <c r="C55" s="15" t="n">
        <v>8</v>
      </c>
      <c r="D55" s="15" t="n">
        <v>15</v>
      </c>
      <c r="E55" s="15" t="n">
        <v>22</v>
      </c>
      <c r="F55" s="15" t="n">
        <v>30</v>
      </c>
    </row>
    <row r="56">
      <c r="A56" s="14" t="inlineStr">
        <is>
          <t>PubHelper Projects/Year</t>
        </is>
      </c>
      <c r="B56" s="15" t="n">
        <v>40</v>
      </c>
      <c r="C56" s="15" t="n">
        <v>80</v>
      </c>
      <c r="D56" s="15" t="n">
        <v>150</v>
      </c>
      <c r="E56" s="15" t="n">
        <v>250</v>
      </c>
      <c r="F56" s="15" t="n">
        <v>350</v>
      </c>
    </row>
    <row r="57">
      <c r="A57" s="14" t="inlineStr">
        <is>
          <t>Physician Platform Subscribers</t>
        </is>
      </c>
      <c r="B57" s="15" t="n">
        <v>10</v>
      </c>
      <c r="C57" s="15" t="n">
        <v>50</v>
      </c>
      <c r="D57" s="15" t="n">
        <v>150</v>
      </c>
      <c r="E57" s="15" t="n">
        <v>300</v>
      </c>
      <c r="F57" s="15" t="n">
        <v>500</v>
      </c>
    </row>
    <row r="58">
      <c r="A58" s="16" t="inlineStr">
        <is>
          <t>Revenue per Employee</t>
        </is>
      </c>
      <c r="B58" s="17">
        <f>IF(B52=0,0,B14/B52)</f>
        <v/>
      </c>
      <c r="C58" s="17">
        <f>IF(C52=0,0,C14/C52)</f>
        <v/>
      </c>
      <c r="D58" s="17">
        <f>IF(D52=0,0,D14/D52)</f>
        <v/>
      </c>
      <c r="E58" s="17">
        <f>IF(E52=0,0,E14/E52)</f>
        <v/>
      </c>
      <c r="F58" s="17">
        <f>IF(F52=0,0,F14/F52)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8" t="inlineStr">
        <is>
          <t>NAMA CRO / NAMA MEDICAL (TKG-02)</t>
        </is>
      </c>
    </row>
    <row r="2">
      <c r="A2" s="2" t="inlineStr">
        <is>
          <t>P&amp;L Statement | SAR Thousands | Conservative</t>
        </is>
      </c>
    </row>
    <row r="3">
      <c r="A3" s="3" t="inlineStr"/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</row>
    <row r="4">
      <c r="A4" s="4" t="inlineStr">
        <is>
          <t>REVENUE</t>
        </is>
      </c>
      <c r="B4" s="4" t="n"/>
      <c r="C4" s="4" t="n"/>
      <c r="D4" s="4" t="n"/>
      <c r="E4" s="4" t="n"/>
      <c r="F4" s="4" t="n"/>
    </row>
    <row r="5">
      <c r="A5" s="14" t="inlineStr">
        <is>
          <t>1. Interventional Trials (Phase I-IV)</t>
        </is>
      </c>
      <c r="B5" s="15" t="n">
        <v>1500</v>
      </c>
      <c r="C5" s="15" t="n">
        <v>4500</v>
      </c>
      <c r="D5" s="15" t="n">
        <v>9000</v>
      </c>
      <c r="E5" s="15" t="n">
        <v>15000</v>
      </c>
      <c r="F5" s="15" t="n">
        <v>22500</v>
      </c>
    </row>
    <row r="6">
      <c r="A6" s="14" t="inlineStr">
        <is>
          <t>2. RWE &amp; Observational Studies</t>
        </is>
      </c>
      <c r="B6" s="15" t="n">
        <v>750</v>
      </c>
      <c r="C6" s="15" t="n">
        <v>2250</v>
      </c>
      <c r="D6" s="15" t="n">
        <v>4500</v>
      </c>
      <c r="E6" s="15" t="n">
        <v>7500</v>
      </c>
      <c r="F6" s="15" t="n">
        <v>11250</v>
      </c>
    </row>
    <row r="7">
      <c r="A7" s="14" t="inlineStr">
        <is>
          <t>3. CTU Development Contracts</t>
        </is>
      </c>
      <c r="B7" s="15" t="n">
        <v>500</v>
      </c>
      <c r="C7" s="15" t="n">
        <v>1200</v>
      </c>
      <c r="D7" s="15" t="n">
        <v>2000</v>
      </c>
      <c r="E7" s="15" t="n">
        <v>3000</v>
      </c>
      <c r="F7" s="15" t="n">
        <v>4000</v>
      </c>
    </row>
    <row r="8">
      <c r="A8" s="14" t="inlineStr">
        <is>
          <t>4. SMO Services</t>
        </is>
      </c>
      <c r="B8" s="15" t="n">
        <v>375</v>
      </c>
      <c r="C8" s="15" t="n">
        <v>750</v>
      </c>
      <c r="D8" s="15" t="n">
        <v>1500</v>
      </c>
      <c r="E8" s="15" t="n">
        <v>2250</v>
      </c>
      <c r="F8" s="15" t="n">
        <v>3000</v>
      </c>
    </row>
    <row r="9">
      <c r="A9" s="14" t="inlineStr">
        <is>
          <t>5. Training &amp; Capability Building</t>
        </is>
      </c>
      <c r="B9" s="15" t="n">
        <v>200</v>
      </c>
      <c r="C9" s="15" t="n">
        <v>500</v>
      </c>
      <c r="D9" s="15" t="n">
        <v>1000</v>
      </c>
      <c r="E9" s="15" t="n">
        <v>1500</v>
      </c>
      <c r="F9" s="15" t="n">
        <v>2000</v>
      </c>
    </row>
    <row r="10">
      <c r="A10" s="14" t="inlineStr">
        <is>
          <t>6. Medical Writing (to Waraqa SLA)</t>
        </is>
      </c>
      <c r="B10" s="15" t="n">
        <v>300</v>
      </c>
      <c r="C10" s="15" t="n">
        <v>450</v>
      </c>
      <c r="D10" s="15" t="n">
        <v>600</v>
      </c>
      <c r="E10" s="15" t="n">
        <v>750</v>
      </c>
      <c r="F10" s="15" t="n">
        <v>900</v>
      </c>
    </row>
    <row r="11">
      <c r="A11" s="7" t="inlineStr">
        <is>
          <t>TOTAL REVENUE</t>
        </is>
      </c>
      <c r="B11" s="8">
        <f>SUM(B5:B10)</f>
        <v/>
      </c>
      <c r="C11" s="8">
        <f>SUM(C5:C10)</f>
        <v/>
      </c>
      <c r="D11" s="8">
        <f>SUM(D5:D10)</f>
        <v/>
      </c>
      <c r="E11" s="8">
        <f>SUM(E5:E10)</f>
        <v/>
      </c>
      <c r="F11" s="8">
        <f>SUM(F5:F10)</f>
        <v/>
      </c>
    </row>
    <row r="12">
      <c r="A12" s="11" t="inlineStr">
        <is>
          <t>Revenue Growth %</t>
        </is>
      </c>
      <c r="B12" s="12" t="inlineStr">
        <is>
          <t>N/A</t>
        </is>
      </c>
      <c r="C12" s="13">
        <f>IF(B11=0,0,(C11-B11)/B11)</f>
        <v/>
      </c>
      <c r="D12" s="13">
        <f>IF(C11=0,0,(D11-C11)/C11)</f>
        <v/>
      </c>
      <c r="E12" s="13">
        <f>IF(D11=0,0,(E11-D11)/D11)</f>
        <v/>
      </c>
      <c r="F12" s="13">
        <f>IF(E11=0,0,(F11-E11)/E11)</f>
        <v/>
      </c>
    </row>
    <row r="14">
      <c r="A14" s="4" t="inlineStr">
        <is>
          <t>DIRECT COSTS (COGS)</t>
        </is>
      </c>
      <c r="B14" s="4" t="n"/>
      <c r="C14" s="4" t="n"/>
      <c r="D14" s="4" t="n"/>
      <c r="E14" s="4" t="n"/>
      <c r="F14" s="4" t="n"/>
    </row>
    <row r="15">
      <c r="A15" s="14" t="inlineStr">
        <is>
          <t xml:space="preserve">  Clinical Research Associates</t>
        </is>
      </c>
      <c r="B15" s="15" t="n">
        <v>600</v>
      </c>
      <c r="C15" s="15" t="n">
        <v>1500</v>
      </c>
      <c r="D15" s="15" t="n">
        <v>3000</v>
      </c>
      <c r="E15" s="15" t="n">
        <v>5000</v>
      </c>
      <c r="F15" s="15" t="n">
        <v>7500</v>
      </c>
    </row>
    <row r="16">
      <c r="A16" s="14" t="inlineStr">
        <is>
          <t xml:space="preserve">  Study Coordinators &amp; Site Staff</t>
        </is>
      </c>
      <c r="B16" s="15" t="n">
        <v>400</v>
      </c>
      <c r="C16" s="15" t="n">
        <v>1000</v>
      </c>
      <c r="D16" s="15" t="n">
        <v>2000</v>
      </c>
      <c r="E16" s="15" t="n">
        <v>3000</v>
      </c>
      <c r="F16" s="15" t="n">
        <v>4500</v>
      </c>
    </row>
    <row r="17">
      <c r="A17" s="14" t="inlineStr">
        <is>
          <t xml:space="preserve">  Principal Investigators (PTC)</t>
        </is>
      </c>
      <c r="B17" s="15" t="n">
        <v>500</v>
      </c>
      <c r="C17" s="15" t="n">
        <v>1500</v>
      </c>
      <c r="D17" s="15" t="n">
        <v>3000</v>
      </c>
      <c r="E17" s="15" t="n">
        <v>4500</v>
      </c>
      <c r="F17" s="15" t="n">
        <v>6000</v>
      </c>
    </row>
    <row r="18">
      <c r="A18" s="14" t="inlineStr">
        <is>
          <t xml:space="preserve">  Data Management &amp; Biostatistics</t>
        </is>
      </c>
      <c r="B18" s="15" t="n">
        <v>300</v>
      </c>
      <c r="C18" s="15" t="n">
        <v>700</v>
      </c>
      <c r="D18" s="15" t="n">
        <v>1200</v>
      </c>
      <c r="E18" s="15" t="n">
        <v>1800</v>
      </c>
      <c r="F18" s="15" t="n">
        <v>2000</v>
      </c>
    </row>
    <row r="19">
      <c r="A19" s="14" t="inlineStr">
        <is>
          <t xml:space="preserve">  Regulatory &amp; Pharmacovigilance</t>
        </is>
      </c>
      <c r="B19" s="15" t="n">
        <v>200</v>
      </c>
      <c r="C19" s="15" t="n">
        <v>400</v>
      </c>
      <c r="D19" s="15" t="n">
        <v>700</v>
      </c>
      <c r="E19" s="15" t="n">
        <v>1000</v>
      </c>
      <c r="F19" s="15" t="n">
        <v>1200</v>
      </c>
    </row>
    <row r="20">
      <c r="A20" s="14" t="inlineStr">
        <is>
          <t xml:space="preserve">  Laboratory &amp; Logistics</t>
        </is>
      </c>
      <c r="B20" s="15" t="n">
        <v>200</v>
      </c>
      <c r="C20" s="15" t="n">
        <v>400</v>
      </c>
      <c r="D20" s="15" t="n">
        <v>600</v>
      </c>
      <c r="E20" s="15" t="n">
        <v>700</v>
      </c>
      <c r="F20" s="15" t="n">
        <v>800</v>
      </c>
    </row>
    <row r="21">
      <c r="A21" s="7" t="inlineStr">
        <is>
          <t>TOTAL COGS</t>
        </is>
      </c>
      <c r="B21" s="8">
        <f>SUM(B15:B20)</f>
        <v/>
      </c>
      <c r="C21" s="8">
        <f>SUM(C15:C20)</f>
        <v/>
      </c>
      <c r="D21" s="8">
        <f>SUM(D15:D20)</f>
        <v/>
      </c>
      <c r="E21" s="8">
        <f>SUM(E15:E20)</f>
        <v/>
      </c>
      <c r="F21" s="8">
        <f>SUM(F15:F20)</f>
        <v/>
      </c>
    </row>
    <row r="22">
      <c r="A22" s="19" t="inlineStr">
        <is>
          <t>GROSS PROFIT</t>
        </is>
      </c>
      <c r="B22" s="20">
        <f>B11-B21</f>
        <v/>
      </c>
      <c r="C22" s="20">
        <f>C11-C21</f>
        <v/>
      </c>
      <c r="D22" s="20">
        <f>D11-D21</f>
        <v/>
      </c>
      <c r="E22" s="20">
        <f>E11-E21</f>
        <v/>
      </c>
      <c r="F22" s="20">
        <f>F11-F21</f>
        <v/>
      </c>
    </row>
    <row r="23">
      <c r="A23" s="11" t="inlineStr">
        <is>
          <t>Gross Margin %</t>
        </is>
      </c>
      <c r="B23" s="13">
        <f>IF(B11=0,0,B22/B11)</f>
        <v/>
      </c>
      <c r="C23" s="13">
        <f>IF(C11=0,0,C22/C11)</f>
        <v/>
      </c>
      <c r="D23" s="13">
        <f>IF(D11=0,0,D22/D11)</f>
        <v/>
      </c>
      <c r="E23" s="13">
        <f>IF(E11=0,0,E22/E11)</f>
        <v/>
      </c>
      <c r="F23" s="13">
        <f>IF(F11=0,0,F22/F11)</f>
        <v/>
      </c>
    </row>
    <row r="25">
      <c r="A25" s="4" t="inlineStr">
        <is>
          <t>GENERAL &amp; ADMINISTRATIVE</t>
        </is>
      </c>
      <c r="B25" s="4" t="n"/>
      <c r="C25" s="4" t="n"/>
      <c r="D25" s="4" t="n"/>
      <c r="E25" s="4" t="n"/>
      <c r="F25" s="4" t="n"/>
    </row>
    <row r="26">
      <c r="A26" s="14" t="inlineStr">
        <is>
          <t xml:space="preserve">  Management &amp; Admin Salaries</t>
        </is>
      </c>
      <c r="B26" s="15" t="n">
        <v>600</v>
      </c>
      <c r="C26" s="15" t="n">
        <v>700</v>
      </c>
      <c r="D26" s="15" t="n">
        <v>900</v>
      </c>
      <c r="E26" s="15" t="n">
        <v>1100</v>
      </c>
      <c r="F26" s="15" t="n">
        <v>1300</v>
      </c>
    </row>
    <row r="27">
      <c r="A27" s="14" t="inlineStr">
        <is>
          <t xml:space="preserve">  Office Rent (KSA + Egypt + UAE)</t>
        </is>
      </c>
      <c r="B27" s="15" t="n">
        <v>250</v>
      </c>
      <c r="C27" s="15" t="n">
        <v>300</v>
      </c>
      <c r="D27" s="15" t="n">
        <v>400</v>
      </c>
      <c r="E27" s="15" t="n">
        <v>500</v>
      </c>
      <c r="F27" s="15" t="n">
        <v>600</v>
      </c>
    </row>
    <row r="28">
      <c r="A28" s="14" t="inlineStr">
        <is>
          <t xml:space="preserve">  IT Systems (CTMS, LMS, EDC)</t>
        </is>
      </c>
      <c r="B28" s="15" t="n">
        <v>200</v>
      </c>
      <c r="C28" s="15" t="n">
        <v>250</v>
      </c>
      <c r="D28" s="15" t="n">
        <v>350</v>
      </c>
      <c r="E28" s="15" t="n">
        <v>450</v>
      </c>
      <c r="F28" s="15" t="n">
        <v>550</v>
      </c>
    </row>
    <row r="29">
      <c r="A29" s="14" t="inlineStr">
        <is>
          <t xml:space="preserve">  Legal &amp; Regulatory Compliance</t>
        </is>
      </c>
      <c r="B29" s="15" t="n">
        <v>80</v>
      </c>
      <c r="C29" s="15" t="n">
        <v>100</v>
      </c>
      <c r="D29" s="15" t="n">
        <v>150</v>
      </c>
      <c r="E29" s="15" t="n">
        <v>200</v>
      </c>
      <c r="F29" s="15" t="n">
        <v>250</v>
      </c>
    </row>
    <row r="30">
      <c r="A30" s="14" t="inlineStr">
        <is>
          <t xml:space="preserve">  Insurance &amp; Professional Fees</t>
        </is>
      </c>
      <c r="B30" s="15" t="n">
        <v>40</v>
      </c>
      <c r="C30" s="15" t="n">
        <v>80</v>
      </c>
      <c r="D30" s="15" t="n">
        <v>120</v>
      </c>
      <c r="E30" s="15" t="n">
        <v>150</v>
      </c>
      <c r="F30" s="15" t="n">
        <v>180</v>
      </c>
    </row>
    <row r="31">
      <c r="A31" s="14" t="inlineStr">
        <is>
          <t xml:space="preserve">  Hiring &amp; Onboarding</t>
        </is>
      </c>
      <c r="B31" s="15" t="n">
        <v>30</v>
      </c>
      <c r="C31" s="15" t="n">
        <v>70</v>
      </c>
      <c r="D31" s="15" t="n">
        <v>80</v>
      </c>
      <c r="E31" s="15" t="n">
        <v>100</v>
      </c>
      <c r="F31" s="15" t="n">
        <v>120</v>
      </c>
    </row>
    <row r="32">
      <c r="A32" s="7" t="inlineStr">
        <is>
          <t>TOTAL G&amp;A</t>
        </is>
      </c>
      <c r="B32" s="8">
        <f>SUM(B26:B31)</f>
        <v/>
      </c>
      <c r="C32" s="8">
        <f>SUM(C26:C31)</f>
        <v/>
      </c>
      <c r="D32" s="8">
        <f>SUM(D26:D31)</f>
        <v/>
      </c>
      <c r="E32" s="8">
        <f>SUM(E26:E31)</f>
        <v/>
      </c>
      <c r="F32" s="8">
        <f>SUM(F26:F31)</f>
        <v/>
      </c>
    </row>
    <row r="34">
      <c r="A34" s="4" t="inlineStr">
        <is>
          <t>SALES &amp; MARKETING</t>
        </is>
      </c>
      <c r="B34" s="4" t="n"/>
      <c r="C34" s="4" t="n"/>
      <c r="D34" s="4" t="n"/>
      <c r="E34" s="4" t="n"/>
      <c r="F34" s="4" t="n"/>
    </row>
    <row r="35">
      <c r="A35" s="14" t="inlineStr">
        <is>
          <t xml:space="preserve">  Business Development</t>
        </is>
      </c>
      <c r="B35" s="15" t="n">
        <v>120</v>
      </c>
      <c r="C35" s="15" t="n">
        <v>200</v>
      </c>
      <c r="D35" s="15" t="n">
        <v>350</v>
      </c>
      <c r="E35" s="15" t="n">
        <v>450</v>
      </c>
      <c r="F35" s="15" t="n">
        <v>550</v>
      </c>
    </row>
    <row r="36">
      <c r="A36" s="14" t="inlineStr">
        <is>
          <t xml:space="preserve">  Marketing &amp; Brand</t>
        </is>
      </c>
      <c r="B36" s="15" t="n">
        <v>100</v>
      </c>
      <c r="C36" s="15" t="n">
        <v>150</v>
      </c>
      <c r="D36" s="15" t="n">
        <v>250</v>
      </c>
      <c r="E36" s="15" t="n">
        <v>300</v>
      </c>
      <c r="F36" s="15" t="n">
        <v>350</v>
      </c>
    </row>
    <row r="37">
      <c r="A37" s="14" t="inlineStr">
        <is>
          <t xml:space="preserve">  Travel (client meetings, sites)</t>
        </is>
      </c>
      <c r="B37" s="15" t="n">
        <v>50</v>
      </c>
      <c r="C37" s="15" t="n">
        <v>100</v>
      </c>
      <c r="D37" s="15" t="n">
        <v>150</v>
      </c>
      <c r="E37" s="15" t="n">
        <v>200</v>
      </c>
      <c r="F37" s="15" t="n">
        <v>250</v>
      </c>
    </row>
    <row r="38">
      <c r="A38" s="14" t="inlineStr">
        <is>
          <t xml:space="preserve">  Conference Participation</t>
        </is>
      </c>
      <c r="B38" s="15" t="n">
        <v>30</v>
      </c>
      <c r="C38" s="15" t="n">
        <v>50</v>
      </c>
      <c r="D38" s="15" t="n">
        <v>50</v>
      </c>
      <c r="E38" s="15" t="n">
        <v>50</v>
      </c>
      <c r="F38" s="15" t="n">
        <v>50</v>
      </c>
    </row>
    <row r="39">
      <c r="A39" s="7" t="inlineStr">
        <is>
          <t>TOTAL S&amp;M</t>
        </is>
      </c>
      <c r="B39" s="8">
        <f>SUM(B35:B38)</f>
        <v/>
      </c>
      <c r="C39" s="8">
        <f>SUM(C35:C38)</f>
        <v/>
      </c>
      <c r="D39" s="8">
        <f>SUM(D35:D38)</f>
        <v/>
      </c>
      <c r="E39" s="8">
        <f>SUM(E35:E38)</f>
        <v/>
      </c>
      <c r="F39" s="8">
        <f>SUM(F35:F38)</f>
        <v/>
      </c>
    </row>
    <row r="41">
      <c r="A41" s="19" t="inlineStr">
        <is>
          <t>TOTAL OPERATING EXPENSES</t>
        </is>
      </c>
      <c r="B41" s="20">
        <f>B32+B39</f>
        <v/>
      </c>
      <c r="C41" s="20">
        <f>C32+C39</f>
        <v/>
      </c>
      <c r="D41" s="20">
        <f>D32+D39</f>
        <v/>
      </c>
      <c r="E41" s="20">
        <f>E32+E39</f>
        <v/>
      </c>
      <c r="F41" s="20">
        <f>F32+F39</f>
        <v/>
      </c>
    </row>
    <row r="43">
      <c r="A43" s="7" t="inlineStr">
        <is>
          <t>EBITDA</t>
        </is>
      </c>
      <c r="B43" s="8">
        <f>B22-B41</f>
        <v/>
      </c>
      <c r="C43" s="8">
        <f>C22-C41</f>
        <v/>
      </c>
      <c r="D43" s="8">
        <f>D22-D41</f>
        <v/>
      </c>
      <c r="E43" s="8">
        <f>E22-E41</f>
        <v/>
      </c>
      <c r="F43" s="8">
        <f>F22-F41</f>
        <v/>
      </c>
    </row>
    <row r="44">
      <c r="A44" s="11" t="inlineStr">
        <is>
          <t>EBITDA Margin %</t>
        </is>
      </c>
      <c r="B44" s="13">
        <f>IF(B11=0,0,B43/B11)</f>
        <v/>
      </c>
      <c r="C44" s="13">
        <f>IF(C11=0,0,C43/C11)</f>
        <v/>
      </c>
      <c r="D44" s="13">
        <f>IF(D11=0,0,D43/D11)</f>
        <v/>
      </c>
      <c r="E44" s="13">
        <f>IF(E11=0,0,E43/E11)</f>
        <v/>
      </c>
      <c r="F44" s="13">
        <f>IF(F11=0,0,F43/F11)</f>
        <v/>
      </c>
    </row>
    <row r="46">
      <c r="A46" s="4" t="inlineStr">
        <is>
          <t>OPERATIONAL METRICS</t>
        </is>
      </c>
      <c r="B46" s="4" t="n"/>
      <c r="C46" s="4" t="n"/>
      <c r="D46" s="4" t="n"/>
      <c r="E46" s="4" t="n"/>
      <c r="F46" s="4" t="n"/>
    </row>
    <row r="47">
      <c r="A47" s="14" t="inlineStr">
        <is>
          <t>Headcount</t>
        </is>
      </c>
      <c r="B47" s="15" t="n">
        <v>20</v>
      </c>
      <c r="C47" s="15" t="n">
        <v>35</v>
      </c>
      <c r="D47" s="15" t="n">
        <v>55</v>
      </c>
      <c r="E47" s="15" t="n">
        <v>80</v>
      </c>
      <c r="F47" s="15" t="n">
        <v>110</v>
      </c>
    </row>
    <row r="48">
      <c r="A48" s="14" t="inlineStr">
        <is>
          <t>Active Interventional Trials</t>
        </is>
      </c>
      <c r="B48" s="15" t="n">
        <v>5</v>
      </c>
      <c r="C48" s="15" t="n">
        <v>12</v>
      </c>
      <c r="D48" s="15" t="n">
        <v>20</v>
      </c>
      <c r="E48" s="15" t="n">
        <v>30</v>
      </c>
      <c r="F48" s="15" t="n">
        <v>40</v>
      </c>
    </row>
    <row r="49">
      <c r="A49" s="14" t="inlineStr">
        <is>
          <t>RWE Studies Active</t>
        </is>
      </c>
      <c r="B49" s="15" t="n">
        <v>2</v>
      </c>
      <c r="C49" s="15" t="n">
        <v>6</v>
      </c>
      <c r="D49" s="15" t="n">
        <v>12</v>
      </c>
      <c r="E49" s="15" t="n">
        <v>18</v>
      </c>
      <c r="F49" s="15" t="n">
        <v>25</v>
      </c>
    </row>
    <row r="50">
      <c r="A50" s="14" t="inlineStr">
        <is>
          <t>CTUs Built (cumulative)</t>
        </is>
      </c>
      <c r="B50" s="15" t="n">
        <v>2</v>
      </c>
      <c r="C50" s="15" t="n">
        <v>5</v>
      </c>
      <c r="D50" s="15" t="n">
        <v>10</v>
      </c>
      <c r="E50" s="15" t="n">
        <v>15</v>
      </c>
      <c r="F50" s="15" t="n">
        <v>20</v>
      </c>
    </row>
    <row r="51">
      <c r="A51" s="16" t="inlineStr">
        <is>
          <t>Revenue per Trial</t>
        </is>
      </c>
      <c r="B51" s="17">
        <f>IF((B48+B49)=0,0,B11/(B48+B49))</f>
        <v/>
      </c>
      <c r="C51" s="17">
        <f>IF((C48+C49)=0,0,C11/(C48+C49))</f>
        <v/>
      </c>
      <c r="D51" s="17">
        <f>IF((D48+D49)=0,0,D11/(D48+D49))</f>
        <v/>
      </c>
      <c r="E51" s="17">
        <f>IF((E48+E49)=0,0,E11/(E48+E49))</f>
        <v/>
      </c>
      <c r="F51" s="17">
        <f>IF((F48+F49)=0,0,F11/(F48+F49))</f>
        <v/>
      </c>
    </row>
    <row r="52">
      <c r="A52" s="16" t="inlineStr">
        <is>
          <t>Revenue per Employee</t>
        </is>
      </c>
      <c r="B52" s="17">
        <f>IF(B47=0,0,B11/B47)</f>
        <v/>
      </c>
      <c r="C52" s="17">
        <f>IF(C47=0,0,C11/C47)</f>
        <v/>
      </c>
      <c r="D52" s="17">
        <f>IF(D47=0,0,D11/D47)</f>
        <v/>
      </c>
      <c r="E52" s="17">
        <f>IF(E47=0,0,E11/E47)</f>
        <v/>
      </c>
      <c r="F52" s="17">
        <f>IF(F47=0,0,F11/F47)</f>
        <v/>
      </c>
    </row>
    <row r="54">
      <c r="A54" s="4" t="inlineStr">
        <is>
          <t>INVESTMENT (ALFAISALIAH)</t>
        </is>
      </c>
      <c r="B54" s="4" t="n"/>
      <c r="C54" s="4" t="n"/>
      <c r="D54" s="4" t="n"/>
      <c r="E54" s="4" t="n"/>
      <c r="F54" s="4" t="n"/>
    </row>
    <row r="55">
      <c r="A55" s="14" t="inlineStr">
        <is>
          <t>Capital Deployed (SAR '000)</t>
        </is>
      </c>
      <c r="B55" s="15" t="n">
        <v>9375</v>
      </c>
      <c r="C55" s="15" t="n">
        <v>7500</v>
      </c>
      <c r="D55" s="15" t="n">
        <v>1875</v>
      </c>
      <c r="E55" s="15" t="n">
        <v>0</v>
      </c>
      <c r="F55" s="15" t="n">
        <v>0</v>
      </c>
    </row>
    <row r="56">
      <c r="A56" s="16" t="inlineStr">
        <is>
          <t>Cumulative Investment</t>
        </is>
      </c>
      <c r="B56" s="17">
        <f>B55</f>
        <v/>
      </c>
      <c r="C56" s="17">
        <f>B56+C55</f>
        <v/>
      </c>
      <c r="D56" s="17">
        <f>C56+D55</f>
        <v/>
      </c>
      <c r="E56" s="17">
        <f>D56+E55</f>
        <v/>
      </c>
      <c r="F56" s="17">
        <f>E56+F55</f>
        <v/>
      </c>
    </row>
    <row r="57">
      <c r="A57" s="16" t="inlineStr">
        <is>
          <t>Alfaisaliah Equity %</t>
        </is>
      </c>
      <c r="B57" s="21" t="inlineStr">
        <is>
          <t>25-35%</t>
        </is>
      </c>
      <c r="C57" s="17" t="inlineStr"/>
      <c r="D57" s="17" t="inlineStr"/>
      <c r="E57" s="17" t="inlineStr"/>
      <c r="F57" s="1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F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8" t="inlineStr">
        <is>
          <t>NAMA ACADEMY (TKG-03)</t>
        </is>
      </c>
    </row>
    <row r="2">
      <c r="A2" s="2" t="inlineStr">
        <is>
          <t>P&amp;L Statement | SAR Thousands | Conservative</t>
        </is>
      </c>
    </row>
    <row r="3">
      <c r="A3" s="3" t="inlineStr"/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</row>
    <row r="4">
      <c r="A4" s="4" t="inlineStr">
        <is>
          <t>REVENUE</t>
        </is>
      </c>
      <c r="B4" s="4" t="n"/>
      <c r="C4" s="4" t="n"/>
      <c r="D4" s="4" t="n"/>
      <c r="E4" s="4" t="n"/>
      <c r="F4" s="4" t="n"/>
    </row>
    <row r="5">
      <c r="A5" s="14" t="inlineStr">
        <is>
          <t>1. SHA Life Support (BLS/ACLS/PALS/NRP)</t>
        </is>
      </c>
      <c r="B5" s="15" t="n">
        <v>800</v>
      </c>
      <c r="C5" s="15" t="n">
        <v>1800</v>
      </c>
      <c r="D5" s="15" t="n">
        <v>3500</v>
      </c>
      <c r="E5" s="15" t="n">
        <v>5500</v>
      </c>
      <c r="F5" s="15" t="n">
        <v>8000</v>
      </c>
    </row>
    <row r="6">
      <c r="A6" s="14" t="inlineStr">
        <is>
          <t>2. Specialty CME Programs</t>
        </is>
      </c>
      <c r="B6" s="15" t="n">
        <v>400</v>
      </c>
      <c r="C6" s="15" t="n">
        <v>1000</v>
      </c>
      <c r="D6" s="15" t="n">
        <v>2500</v>
      </c>
      <c r="E6" s="15" t="n">
        <v>4000</v>
      </c>
      <c r="F6" s="15" t="n">
        <v>6000</v>
      </c>
    </row>
    <row r="7">
      <c r="A7" s="14" t="inlineStr">
        <is>
          <t>3. Academy-as-a-Service (AaaS)</t>
        </is>
      </c>
      <c r="B7" s="15" t="n">
        <v>0</v>
      </c>
      <c r="C7" s="15" t="n">
        <v>500</v>
      </c>
      <c r="D7" s="15" t="n">
        <v>1500</v>
      </c>
      <c r="E7" s="15" t="n">
        <v>3000</v>
      </c>
      <c r="F7" s="15" t="n">
        <v>5000</v>
      </c>
    </row>
    <row r="8">
      <c r="A8" s="14" t="inlineStr">
        <is>
          <t>4. Conference &amp; Society CME</t>
        </is>
      </c>
      <c r="B8" s="15" t="n">
        <v>300</v>
      </c>
      <c r="C8" s="15" t="n">
        <v>800</v>
      </c>
      <c r="D8" s="15" t="n">
        <v>1500</v>
      </c>
      <c r="E8" s="15" t="n">
        <v>2500</v>
      </c>
      <c r="F8" s="15" t="n">
        <v>3500</v>
      </c>
    </row>
    <row r="9">
      <c r="A9" s="14" t="inlineStr">
        <is>
          <t>5. MGA Bundle CME Revenue Share</t>
        </is>
      </c>
      <c r="B9" s="15" t="n">
        <v>0</v>
      </c>
      <c r="C9" s="15" t="n">
        <v>200</v>
      </c>
      <c r="D9" s="15" t="n">
        <v>600</v>
      </c>
      <c r="E9" s="15" t="n">
        <v>1200</v>
      </c>
      <c r="F9" s="15" t="n">
        <v>2000</v>
      </c>
    </row>
    <row r="10">
      <c r="A10" s="14" t="inlineStr">
        <is>
          <t>6. HRDF/Tamheer Programs</t>
        </is>
      </c>
      <c r="B10" s="15" t="n">
        <v>200</v>
      </c>
      <c r="C10" s="15" t="n">
        <v>400</v>
      </c>
      <c r="D10" s="15" t="n">
        <v>700</v>
      </c>
      <c r="E10" s="15" t="n">
        <v>1000</v>
      </c>
      <c r="F10" s="15" t="n">
        <v>1500</v>
      </c>
    </row>
    <row r="11">
      <c r="A11" s="7" t="inlineStr">
        <is>
          <t>TOTAL REVENUE</t>
        </is>
      </c>
      <c r="B11" s="8">
        <f>SUM(B5:B10)</f>
        <v/>
      </c>
      <c r="C11" s="8">
        <f>SUM(C5:C10)</f>
        <v/>
      </c>
      <c r="D11" s="8">
        <f>SUM(D5:D10)</f>
        <v/>
      </c>
      <c r="E11" s="8">
        <f>SUM(E5:E10)</f>
        <v/>
      </c>
      <c r="F11" s="8">
        <f>SUM(F5:F10)</f>
        <v/>
      </c>
    </row>
    <row r="12">
      <c r="A12" s="11" t="inlineStr">
        <is>
          <t>Revenue Growth %</t>
        </is>
      </c>
      <c r="B12" s="12" t="inlineStr">
        <is>
          <t>N/A</t>
        </is>
      </c>
      <c r="C12" s="13">
        <f>IF(B11=0,0,(C11-B11)/B11)</f>
        <v/>
      </c>
      <c r="D12" s="13">
        <f>IF(C11=0,0,(D11-C11)/C11)</f>
        <v/>
      </c>
      <c r="E12" s="13">
        <f>IF(D11=0,0,(E11-D11)/D11)</f>
        <v/>
      </c>
      <c r="F12" s="13">
        <f>IF(E11=0,0,(F11-E11)/E11)</f>
        <v/>
      </c>
    </row>
    <row r="14">
      <c r="A14" s="4" t="inlineStr">
        <is>
          <t>DIRECT COSTS (COGS)</t>
        </is>
      </c>
      <c r="B14" s="4" t="n"/>
      <c r="C14" s="4" t="n"/>
      <c r="D14" s="4" t="n"/>
      <c r="E14" s="4" t="n"/>
      <c r="F14" s="4" t="n"/>
    </row>
    <row r="15">
      <c r="A15" s="14" t="inlineStr">
        <is>
          <t xml:space="preserve">  Trainers &amp; Instructors</t>
        </is>
      </c>
      <c r="B15" s="15" t="n">
        <v>400</v>
      </c>
      <c r="C15" s="15" t="n">
        <v>900</v>
      </c>
      <c r="D15" s="15" t="n">
        <v>1800</v>
      </c>
      <c r="E15" s="15" t="n">
        <v>2800</v>
      </c>
      <c r="F15" s="15" t="n">
        <v>4200</v>
      </c>
    </row>
    <row r="16">
      <c r="A16" s="14" t="inlineStr">
        <is>
          <t xml:space="preserve">  Venue &amp; Simulation Center Rental</t>
        </is>
      </c>
      <c r="B16" s="15" t="n">
        <v>250</v>
      </c>
      <c r="C16" s="15" t="n">
        <v>500</v>
      </c>
      <c r="D16" s="15" t="n">
        <v>1000</v>
      </c>
      <c r="E16" s="15" t="n">
        <v>1600</v>
      </c>
      <c r="F16" s="15" t="n">
        <v>2400</v>
      </c>
    </row>
    <row r="17">
      <c r="A17" s="14" t="inlineStr">
        <is>
          <t xml:space="preserve">  Training Materials &amp; Equipment</t>
        </is>
      </c>
      <c r="B17" s="15" t="n">
        <v>150</v>
      </c>
      <c r="C17" s="15" t="n">
        <v>350</v>
      </c>
      <c r="D17" s="15" t="n">
        <v>700</v>
      </c>
      <c r="E17" s="15" t="n">
        <v>1100</v>
      </c>
      <c r="F17" s="15" t="n">
        <v>1600</v>
      </c>
    </row>
    <row r="18">
      <c r="A18" s="14" t="inlineStr">
        <is>
          <t xml:space="preserve">  CME Accreditation Fees (SCFHS)</t>
        </is>
      </c>
      <c r="B18" s="15" t="n">
        <v>50</v>
      </c>
      <c r="C18" s="15" t="n">
        <v>100</v>
      </c>
      <c r="D18" s="15" t="n">
        <v>200</v>
      </c>
      <c r="E18" s="15" t="n">
        <v>300</v>
      </c>
      <c r="F18" s="15" t="n">
        <v>400</v>
      </c>
    </row>
    <row r="19">
      <c r="A19" s="14" t="inlineStr">
        <is>
          <t xml:space="preserve">  Conference Production Costs</t>
        </is>
      </c>
      <c r="B19" s="15" t="n">
        <v>100</v>
      </c>
      <c r="C19" s="15" t="n">
        <v>300</v>
      </c>
      <c r="D19" s="15" t="n">
        <v>600</v>
      </c>
      <c r="E19" s="15" t="n">
        <v>1000</v>
      </c>
      <c r="F19" s="15" t="n">
        <v>1400</v>
      </c>
    </row>
    <row r="20">
      <c r="A20" s="14" t="inlineStr">
        <is>
          <t xml:space="preserve">  AaaS Operations (dedicated staff)</t>
        </is>
      </c>
      <c r="B20" s="15" t="n">
        <v>0</v>
      </c>
      <c r="C20" s="15" t="n">
        <v>200</v>
      </c>
      <c r="D20" s="15" t="n">
        <v>500</v>
      </c>
      <c r="E20" s="15" t="n">
        <v>900</v>
      </c>
      <c r="F20" s="15" t="n">
        <v>1500</v>
      </c>
    </row>
    <row r="21">
      <c r="A21" s="14" t="inlineStr">
        <is>
          <t xml:space="preserve">  MGA Bundle Administration</t>
        </is>
      </c>
      <c r="B21" s="15" t="n">
        <v>0</v>
      </c>
      <c r="C21" s="15" t="n">
        <v>50</v>
      </c>
      <c r="D21" s="15" t="n">
        <v>100</v>
      </c>
      <c r="E21" s="15" t="n">
        <v>200</v>
      </c>
      <c r="F21" s="15" t="n">
        <v>300</v>
      </c>
    </row>
    <row r="22">
      <c r="A22" s="14" t="inlineStr">
        <is>
          <t xml:space="preserve">  HRDF Program Delivery</t>
        </is>
      </c>
      <c r="B22" s="15" t="n">
        <v>150</v>
      </c>
      <c r="C22" s="15" t="n">
        <v>100</v>
      </c>
      <c r="D22" s="15" t="n">
        <v>100</v>
      </c>
      <c r="E22" s="15" t="n">
        <v>100</v>
      </c>
      <c r="F22" s="15" t="n">
        <v>200</v>
      </c>
    </row>
    <row r="23">
      <c r="A23" s="7" t="inlineStr">
        <is>
          <t>TOTAL COGS</t>
        </is>
      </c>
      <c r="B23" s="8">
        <f>SUM(B15:B22)</f>
        <v/>
      </c>
      <c r="C23" s="8">
        <f>SUM(C15:C22)</f>
        <v/>
      </c>
      <c r="D23" s="8">
        <f>SUM(D15:D22)</f>
        <v/>
      </c>
      <c r="E23" s="8">
        <f>SUM(E15:E22)</f>
        <v/>
      </c>
      <c r="F23" s="8">
        <f>SUM(F15:F22)</f>
        <v/>
      </c>
    </row>
    <row r="24">
      <c r="A24" s="19" t="inlineStr">
        <is>
          <t>GROSS PROFIT</t>
        </is>
      </c>
      <c r="B24" s="20">
        <f>B11-B23</f>
        <v/>
      </c>
      <c r="C24" s="20">
        <f>C11-C23</f>
        <v/>
      </c>
      <c r="D24" s="20">
        <f>D11-D23</f>
        <v/>
      </c>
      <c r="E24" s="20">
        <f>E11-E23</f>
        <v/>
      </c>
      <c r="F24" s="20">
        <f>F11-F23</f>
        <v/>
      </c>
    </row>
    <row r="25">
      <c r="A25" s="11" t="inlineStr">
        <is>
          <t>Gross Margin %</t>
        </is>
      </c>
      <c r="B25" s="13">
        <f>IF(B11=0,0,B24/B11)</f>
        <v/>
      </c>
      <c r="C25" s="13">
        <f>IF(C11=0,0,C24/C11)</f>
        <v/>
      </c>
      <c r="D25" s="13">
        <f>IF(D11=0,0,D24/D11)</f>
        <v/>
      </c>
      <c r="E25" s="13">
        <f>IF(E11=0,0,E24/E11)</f>
        <v/>
      </c>
      <c r="F25" s="13">
        <f>IF(F11=0,0,F24/F11)</f>
        <v/>
      </c>
    </row>
    <row r="27">
      <c r="A27" s="4" t="inlineStr">
        <is>
          <t>GENERAL &amp; ADMINISTRATIVE</t>
        </is>
      </c>
      <c r="B27" s="4" t="n"/>
      <c r="C27" s="4" t="n"/>
      <c r="D27" s="4" t="n"/>
      <c r="E27" s="4" t="n"/>
      <c r="F27" s="4" t="n"/>
    </row>
    <row r="28">
      <c r="A28" s="14" t="inlineStr">
        <is>
          <t xml:space="preserve">  Management &amp; Admin Salaries</t>
        </is>
      </c>
      <c r="B28" s="15" t="n">
        <v>300</v>
      </c>
      <c r="C28" s="15" t="n">
        <v>400</v>
      </c>
      <c r="D28" s="15" t="n">
        <v>550</v>
      </c>
      <c r="E28" s="15" t="n">
        <v>700</v>
      </c>
      <c r="F28" s="15" t="n">
        <v>850</v>
      </c>
    </row>
    <row r="29">
      <c r="A29" s="14" t="inlineStr">
        <is>
          <t xml:space="preserve">  Office &amp; Admin</t>
        </is>
      </c>
      <c r="B29" s="15" t="n">
        <v>80</v>
      </c>
      <c r="C29" s="15" t="n">
        <v>100</v>
      </c>
      <c r="D29" s="15" t="n">
        <v>150</v>
      </c>
      <c r="E29" s="15" t="n">
        <v>200</v>
      </c>
      <c r="F29" s="15" t="n">
        <v>250</v>
      </c>
    </row>
    <row r="30">
      <c r="A30" s="14" t="inlineStr">
        <is>
          <t xml:space="preserve">  IT &amp; LMS Platform</t>
        </is>
      </c>
      <c r="B30" s="15" t="n">
        <v>60</v>
      </c>
      <c r="C30" s="15" t="n">
        <v>100</v>
      </c>
      <c r="D30" s="15" t="n">
        <v>150</v>
      </c>
      <c r="E30" s="15" t="n">
        <v>200</v>
      </c>
      <c r="F30" s="15" t="n">
        <v>250</v>
      </c>
    </row>
    <row r="31">
      <c r="A31" s="14" t="inlineStr">
        <is>
          <t xml:space="preserve">  Legal &amp; SCFHS Compliance</t>
        </is>
      </c>
      <c r="B31" s="15" t="n">
        <v>30</v>
      </c>
      <c r="C31" s="15" t="n">
        <v>50</v>
      </c>
      <c r="D31" s="15" t="n">
        <v>80</v>
      </c>
      <c r="E31" s="15" t="n">
        <v>100</v>
      </c>
      <c r="F31" s="15" t="n">
        <v>120</v>
      </c>
    </row>
    <row r="32">
      <c r="A32" s="14" t="inlineStr">
        <is>
          <t xml:space="preserve">  Hiring &amp; Staff Development</t>
        </is>
      </c>
      <c r="B32" s="15" t="n">
        <v>30</v>
      </c>
      <c r="C32" s="15" t="n">
        <v>50</v>
      </c>
      <c r="D32" s="15" t="n">
        <v>70</v>
      </c>
      <c r="E32" s="15" t="n">
        <v>100</v>
      </c>
      <c r="F32" s="15" t="n">
        <v>130</v>
      </c>
    </row>
    <row r="33">
      <c r="A33" s="7" t="inlineStr">
        <is>
          <t>TOTAL G&amp;A</t>
        </is>
      </c>
      <c r="B33" s="8">
        <f>SUM(B28:B32)</f>
        <v/>
      </c>
      <c r="C33" s="8">
        <f>SUM(C28:C32)</f>
        <v/>
      </c>
      <c r="D33" s="8">
        <f>SUM(D28:D32)</f>
        <v/>
      </c>
      <c r="E33" s="8">
        <f>SUM(E28:E32)</f>
        <v/>
      </c>
      <c r="F33" s="8">
        <f>SUM(F28:F32)</f>
        <v/>
      </c>
    </row>
    <row r="35">
      <c r="A35" s="4" t="inlineStr">
        <is>
          <t>SALES &amp; MARKETING</t>
        </is>
      </c>
      <c r="B35" s="4" t="n"/>
      <c r="C35" s="4" t="n"/>
      <c r="D35" s="4" t="n"/>
      <c r="E35" s="4" t="n"/>
      <c r="F35" s="4" t="n"/>
    </row>
    <row r="36">
      <c r="A36" s="14" t="inlineStr">
        <is>
          <t xml:space="preserve">  Marketing &amp; Outreach</t>
        </is>
      </c>
      <c r="B36" s="15" t="n">
        <v>60</v>
      </c>
      <c r="C36" s="15" t="n">
        <v>120</v>
      </c>
      <c r="D36" s="15" t="n">
        <v>200</v>
      </c>
      <c r="E36" s="15" t="n">
        <v>300</v>
      </c>
      <c r="F36" s="15" t="n">
        <v>400</v>
      </c>
    </row>
    <row r="37">
      <c r="A37" s="14" t="inlineStr">
        <is>
          <t xml:space="preserve">  Business Development (AaaS)</t>
        </is>
      </c>
      <c r="B37" s="15" t="n">
        <v>50</v>
      </c>
      <c r="C37" s="15" t="n">
        <v>100</v>
      </c>
      <c r="D37" s="15" t="n">
        <v>180</v>
      </c>
      <c r="E37" s="15" t="n">
        <v>250</v>
      </c>
      <c r="F37" s="15" t="n">
        <v>320</v>
      </c>
    </row>
    <row r="38">
      <c r="A38" s="14" t="inlineStr">
        <is>
          <t xml:space="preserve">  Digital &amp; Content Marketing</t>
        </is>
      </c>
      <c r="B38" s="15" t="n">
        <v>20</v>
      </c>
      <c r="C38" s="15" t="n">
        <v>50</v>
      </c>
      <c r="D38" s="15" t="n">
        <v>80</v>
      </c>
      <c r="E38" s="15" t="n">
        <v>100</v>
      </c>
      <c r="F38" s="15" t="n">
        <v>120</v>
      </c>
    </row>
    <row r="39">
      <c r="A39" s="14" t="inlineStr">
        <is>
          <t xml:space="preserve">  Travel &amp; Events</t>
        </is>
      </c>
      <c r="B39" s="15" t="n">
        <v>20</v>
      </c>
      <c r="C39" s="15" t="n">
        <v>30</v>
      </c>
      <c r="D39" s="15" t="n">
        <v>40</v>
      </c>
      <c r="E39" s="15" t="n">
        <v>50</v>
      </c>
      <c r="F39" s="15" t="n">
        <v>60</v>
      </c>
    </row>
    <row r="40">
      <c r="A40" s="7" t="inlineStr">
        <is>
          <t>TOTAL S&amp;M</t>
        </is>
      </c>
      <c r="B40" s="8">
        <f>SUM(B36:B39)</f>
        <v/>
      </c>
      <c r="C40" s="8">
        <f>SUM(C36:C39)</f>
        <v/>
      </c>
      <c r="D40" s="8">
        <f>SUM(D36:D39)</f>
        <v/>
      </c>
      <c r="E40" s="8">
        <f>SUM(E36:E39)</f>
        <v/>
      </c>
      <c r="F40" s="8">
        <f>SUM(F36:F39)</f>
        <v/>
      </c>
    </row>
    <row r="42">
      <c r="A42" s="19" t="inlineStr">
        <is>
          <t>TOTAL OPERATING EXPENSES</t>
        </is>
      </c>
      <c r="B42" s="20">
        <f>B33+B40</f>
        <v/>
      </c>
      <c r="C42" s="20">
        <f>C33+C40</f>
        <v/>
      </c>
      <c r="D42" s="20">
        <f>D33+D40</f>
        <v/>
      </c>
      <c r="E42" s="20">
        <f>E33+E40</f>
        <v/>
      </c>
      <c r="F42" s="20">
        <f>F33+F40</f>
        <v/>
      </c>
    </row>
    <row r="44">
      <c r="A44" s="7" t="inlineStr">
        <is>
          <t>EBITDA</t>
        </is>
      </c>
      <c r="B44" s="8">
        <f>B24-B42</f>
        <v/>
      </c>
      <c r="C44" s="8">
        <f>C24-C42</f>
        <v/>
      </c>
      <c r="D44" s="8">
        <f>D24-D42</f>
        <v/>
      </c>
      <c r="E44" s="8">
        <f>E24-E42</f>
        <v/>
      </c>
      <c r="F44" s="8">
        <f>F24-F42</f>
        <v/>
      </c>
    </row>
    <row r="45">
      <c r="A45" s="11" t="inlineStr">
        <is>
          <t>EBITDA Margin %</t>
        </is>
      </c>
      <c r="B45" s="13">
        <f>IF(B11=0,0,B44/B11)</f>
        <v/>
      </c>
      <c r="C45" s="13">
        <f>IF(C11=0,0,C44/C11)</f>
        <v/>
      </c>
      <c r="D45" s="13">
        <f>IF(D11=0,0,D44/D11)</f>
        <v/>
      </c>
      <c r="E45" s="13">
        <f>IF(E11=0,0,E44/E11)</f>
        <v/>
      </c>
      <c r="F45" s="13">
        <f>IF(F11=0,0,F44/F11)</f>
        <v/>
      </c>
    </row>
    <row r="47">
      <c r="A47" s="4" t="inlineStr">
        <is>
          <t>OPERATIONAL METRICS</t>
        </is>
      </c>
      <c r="B47" s="4" t="n"/>
      <c r="C47" s="4" t="n"/>
      <c r="D47" s="4" t="n"/>
      <c r="E47" s="4" t="n"/>
      <c r="F47" s="4" t="n"/>
    </row>
    <row r="48">
      <c r="A48" s="14" t="inlineStr">
        <is>
          <t>Headcount</t>
        </is>
      </c>
      <c r="B48" s="15" t="n">
        <v>10</v>
      </c>
      <c r="C48" s="15" t="n">
        <v>18</v>
      </c>
      <c r="D48" s="15" t="n">
        <v>30</v>
      </c>
      <c r="E48" s="15" t="n">
        <v>45</v>
      </c>
      <c r="F48" s="15" t="n">
        <v>60</v>
      </c>
    </row>
    <row r="49">
      <c r="A49" s="14" t="inlineStr">
        <is>
          <t>Physicians Trained/Year</t>
        </is>
      </c>
      <c r="B49" s="15" t="n">
        <v>500</v>
      </c>
      <c r="C49" s="15" t="n">
        <v>1200</v>
      </c>
      <c r="D49" s="15" t="n">
        <v>2500</v>
      </c>
      <c r="E49" s="15" t="n">
        <v>4000</v>
      </c>
      <c r="F49" s="15" t="n">
        <v>5500</v>
      </c>
    </row>
    <row r="50">
      <c r="A50" s="14" t="inlineStr">
        <is>
          <t>AaaS Hospital Contracts</t>
        </is>
      </c>
      <c r="B50" s="15" t="n">
        <v>0</v>
      </c>
      <c r="C50" s="15" t="n">
        <v>1</v>
      </c>
      <c r="D50" s="15" t="n">
        <v>3</v>
      </c>
      <c r="E50" s="15" t="n">
        <v>6</v>
      </c>
      <c r="F50" s="15" t="n">
        <v>10</v>
      </c>
    </row>
    <row r="51">
      <c r="A51" s="14" t="inlineStr">
        <is>
          <t>SHA Courses Delivered</t>
        </is>
      </c>
      <c r="B51" s="15" t="n">
        <v>30</v>
      </c>
      <c r="C51" s="15" t="n">
        <v>60</v>
      </c>
      <c r="D51" s="15" t="n">
        <v>120</v>
      </c>
      <c r="E51" s="15" t="n">
        <v>200</v>
      </c>
      <c r="F51" s="15" t="n">
        <v>300</v>
      </c>
    </row>
    <row r="52">
      <c r="A52" s="14" t="inlineStr">
        <is>
          <t>MGA Bundle Physicians</t>
        </is>
      </c>
      <c r="B52" s="15" t="n">
        <v>0</v>
      </c>
      <c r="C52" s="15" t="n">
        <v>250</v>
      </c>
      <c r="D52" s="15" t="n">
        <v>750</v>
      </c>
      <c r="E52" s="15" t="n">
        <v>1500</v>
      </c>
      <c r="F52" s="15" t="n">
        <v>2500</v>
      </c>
    </row>
    <row r="53">
      <c r="A53" s="16" t="inlineStr">
        <is>
          <t>Revenue per Employee</t>
        </is>
      </c>
      <c r="B53" s="17">
        <f>IF(B48=0,0,B11/B48)</f>
        <v/>
      </c>
      <c r="C53" s="17">
        <f>IF(C48=0,0,C11/C48)</f>
        <v/>
      </c>
      <c r="D53" s="17">
        <f>IF(D48=0,0,D11/D48)</f>
        <v/>
      </c>
      <c r="E53" s="17">
        <f>IF(E48=0,0,E11/E48)</f>
        <v/>
      </c>
      <c r="F53" s="17">
        <f>IF(F48=0,0,F11/F48)</f>
        <v/>
      </c>
    </row>
    <row r="55">
      <c r="A55" s="14" t="inlineStr">
        <is>
          <t>Funded by: Waraqa Allocation (SAR '000)</t>
        </is>
      </c>
      <c r="B55" s="15" t="n">
        <v>400</v>
      </c>
      <c r="C55" s="15" t="n">
        <v>400</v>
      </c>
      <c r="D55" s="15" t="n">
        <v>500</v>
      </c>
      <c r="E55" s="15" t="n">
        <v>500</v>
      </c>
      <c r="F55" s="15" t="n">
        <v>500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8" t="inlineStr">
        <is>
          <t>NAMA BIOEQUIVALENCE CENTER (TKG-04)</t>
        </is>
      </c>
    </row>
    <row r="2">
      <c r="A2" s="2" t="inlineStr">
        <is>
          <t>P&amp;L Statement | SAR Thousands | Conservative</t>
        </is>
      </c>
    </row>
    <row r="3">
      <c r="A3" s="3" t="inlineStr"/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</row>
    <row r="4">
      <c r="A4" s="4" t="inlineStr">
        <is>
          <t>REVENUE</t>
        </is>
      </c>
      <c r="B4" s="4" t="n"/>
      <c r="C4" s="4" t="n"/>
      <c r="D4" s="4" t="n"/>
      <c r="E4" s="4" t="n"/>
      <c r="F4" s="4" t="n"/>
    </row>
    <row r="5">
      <c r="A5" s="14" t="inlineStr">
        <is>
          <t>1. Bioequivalence Studies</t>
        </is>
      </c>
      <c r="B5" s="15" t="n">
        <v>2700</v>
      </c>
      <c r="C5" s="15" t="n">
        <v>4500</v>
      </c>
      <c r="D5" s="15" t="n">
        <v>8100</v>
      </c>
      <c r="E5" s="15" t="n">
        <v>10238</v>
      </c>
      <c r="F5" s="15" t="n">
        <v>13650</v>
      </c>
    </row>
    <row r="6">
      <c r="A6" s="7" t="inlineStr">
        <is>
          <t>TOTAL REVENUE</t>
        </is>
      </c>
      <c r="B6" s="8">
        <f>SUM(B5:B5)</f>
        <v/>
      </c>
      <c r="C6" s="8">
        <f>SUM(C5:C5)</f>
        <v/>
      </c>
      <c r="D6" s="8">
        <f>SUM(D5:D5)</f>
        <v/>
      </c>
      <c r="E6" s="8">
        <f>SUM(E5:E5)</f>
        <v/>
      </c>
      <c r="F6" s="8">
        <f>SUM(F5:F5)</f>
        <v/>
      </c>
    </row>
    <row r="7">
      <c r="A7" s="11" t="inlineStr">
        <is>
          <t>Revenue Growth %</t>
        </is>
      </c>
      <c r="B7" s="12" t="inlineStr">
        <is>
          <t>N/A</t>
        </is>
      </c>
      <c r="C7" s="13">
        <f>IF(B6=0,0,(C6-B6)/B6)</f>
        <v/>
      </c>
      <c r="D7" s="13">
        <f>IF(C6=0,0,(D6-C6)/C6)</f>
        <v/>
      </c>
      <c r="E7" s="13">
        <f>IF(D6=0,0,(E6-D6)/D6)</f>
        <v/>
      </c>
      <c r="F7" s="13">
        <f>IF(E6=0,0,(F6-E6)/E6)</f>
        <v/>
      </c>
    </row>
    <row r="9">
      <c r="A9" s="4" t="inlineStr">
        <is>
          <t>DIRECT COSTS (COGS)</t>
        </is>
      </c>
      <c r="B9" s="4" t="n"/>
      <c r="C9" s="4" t="n"/>
      <c r="D9" s="4" t="n"/>
      <c r="E9" s="4" t="n"/>
      <c r="F9" s="4" t="n"/>
    </row>
    <row r="10">
      <c r="A10" s="14" t="inlineStr">
        <is>
          <t xml:space="preserve">  Principal Trial Costs (PTC)</t>
        </is>
      </c>
      <c r="B10" s="15" t="n">
        <v>960</v>
      </c>
      <c r="C10" s="15" t="n">
        <v>2800</v>
      </c>
      <c r="D10" s="15" t="n">
        <v>5520</v>
      </c>
      <c r="E10" s="15" t="n">
        <v>6640</v>
      </c>
      <c r="F10" s="15" t="n">
        <v>8560</v>
      </c>
    </row>
    <row r="11">
      <c r="A11" s="14" t="inlineStr">
        <is>
          <t xml:space="preserve">  Direct Clinical Labor</t>
        </is>
      </c>
      <c r="B11" s="15" t="n">
        <v>550</v>
      </c>
      <c r="C11" s="15" t="n">
        <v>1100</v>
      </c>
      <c r="D11" s="15" t="n">
        <v>2000</v>
      </c>
      <c r="E11" s="15" t="n">
        <v>2800</v>
      </c>
      <c r="F11" s="15" t="n">
        <v>3600</v>
      </c>
    </row>
    <row r="12">
      <c r="A12" s="14" t="inlineStr">
        <is>
          <t xml:space="preserve">  Laboratory &amp; Bioanalytical (KSU)</t>
        </is>
      </c>
      <c r="B12" s="15" t="n">
        <v>250</v>
      </c>
      <c r="C12" s="15" t="n">
        <v>400</v>
      </c>
      <c r="D12" s="15" t="n">
        <v>500</v>
      </c>
      <c r="E12" s="15" t="n">
        <v>700</v>
      </c>
      <c r="F12" s="15" t="n">
        <v>1000</v>
      </c>
    </row>
    <row r="13">
      <c r="A13" s="14" t="inlineStr">
        <is>
          <t xml:space="preserve">  Maintenance &amp; Consumables</t>
        </is>
      </c>
      <c r="B13" s="15" t="n">
        <v>62</v>
      </c>
      <c r="C13" s="15" t="n">
        <v>79</v>
      </c>
      <c r="D13" s="15" t="n">
        <v>100</v>
      </c>
      <c r="E13" s="15" t="n">
        <v>138</v>
      </c>
      <c r="F13" s="15" t="n">
        <v>173</v>
      </c>
    </row>
    <row r="14">
      <c r="A14" s="14" t="inlineStr">
        <is>
          <t xml:space="preserve">  Transportation &amp; Logistics</t>
        </is>
      </c>
      <c r="B14" s="15" t="n">
        <v>50</v>
      </c>
      <c r="C14" s="15" t="n">
        <v>100</v>
      </c>
      <c r="D14" s="15" t="n">
        <v>100</v>
      </c>
      <c r="E14" s="15" t="n">
        <v>100</v>
      </c>
      <c r="F14" s="15" t="n">
        <v>100</v>
      </c>
    </row>
    <row r="15">
      <c r="A15" s="7" t="inlineStr">
        <is>
          <t>TOTAL COGS</t>
        </is>
      </c>
      <c r="B15" s="8">
        <f>SUM(B10:B14)</f>
        <v/>
      </c>
      <c r="C15" s="8">
        <f>SUM(C10:C14)</f>
        <v/>
      </c>
      <c r="D15" s="8">
        <f>SUM(D10:D14)</f>
        <v/>
      </c>
      <c r="E15" s="8">
        <f>SUM(E10:E14)</f>
        <v/>
      </c>
      <c r="F15" s="8">
        <f>SUM(F10:F14)</f>
        <v/>
      </c>
    </row>
    <row r="16">
      <c r="A16" s="19" t="inlineStr">
        <is>
          <t>GROSS PROFIT</t>
        </is>
      </c>
      <c r="B16" s="20">
        <f>B6-B15</f>
        <v/>
      </c>
      <c r="C16" s="20">
        <f>C6-C15</f>
        <v/>
      </c>
      <c r="D16" s="20">
        <f>D6-D15</f>
        <v/>
      </c>
      <c r="E16" s="20">
        <f>E6-E15</f>
        <v/>
      </c>
      <c r="F16" s="20">
        <f>F6-F15</f>
        <v/>
      </c>
    </row>
    <row r="17">
      <c r="A17" s="11" t="inlineStr">
        <is>
          <t>Gross Margin %</t>
        </is>
      </c>
      <c r="B17" s="13">
        <f>IF(B6=0,0,B16/B6)</f>
        <v/>
      </c>
      <c r="C17" s="13">
        <f>IF(C6=0,0,C16/C6)</f>
        <v/>
      </c>
      <c r="D17" s="13">
        <f>IF(D6=0,0,D16/D6)</f>
        <v/>
      </c>
      <c r="E17" s="13">
        <f>IF(E6=0,0,E16/E6)</f>
        <v/>
      </c>
      <c r="F17" s="13">
        <f>IF(F6=0,0,F16/F6)</f>
        <v/>
      </c>
    </row>
    <row r="19">
      <c r="A19" s="4" t="inlineStr">
        <is>
          <t>GENERAL &amp; ADMINISTRATIVE</t>
        </is>
      </c>
      <c r="B19" s="4" t="n"/>
      <c r="C19" s="4" t="n"/>
      <c r="D19" s="4" t="n"/>
      <c r="E19" s="4" t="n"/>
      <c r="F19" s="4" t="n"/>
    </row>
    <row r="20">
      <c r="A20" s="14" t="inlineStr">
        <is>
          <t xml:space="preserve">  Management Salaries</t>
        </is>
      </c>
      <c r="B20" s="15" t="n">
        <v>800</v>
      </c>
      <c r="C20" s="15" t="n">
        <v>850</v>
      </c>
      <c r="D20" s="15" t="n">
        <v>1200</v>
      </c>
      <c r="E20" s="15" t="n">
        <v>1300</v>
      </c>
      <c r="F20" s="15" t="n">
        <v>1400</v>
      </c>
    </row>
    <row r="21">
      <c r="A21" s="14" t="inlineStr">
        <is>
          <t xml:space="preserve">  Admin &amp; Support Staff</t>
        </is>
      </c>
      <c r="B21" s="15" t="n">
        <v>450</v>
      </c>
      <c r="C21" s="15" t="n">
        <v>500</v>
      </c>
      <c r="D21" s="15" t="n">
        <v>700</v>
      </c>
      <c r="E21" s="15" t="n">
        <v>750</v>
      </c>
      <c r="F21" s="15" t="n">
        <v>800</v>
      </c>
    </row>
    <row r="22">
      <c r="A22" s="14" t="inlineStr">
        <is>
          <t xml:space="preserve">  Rent (CARE Medical Ward)</t>
        </is>
      </c>
      <c r="B22" s="15" t="n">
        <v>250</v>
      </c>
      <c r="C22" s="15" t="n">
        <v>263</v>
      </c>
      <c r="D22" s="15" t="n">
        <v>275</v>
      </c>
      <c r="E22" s="15" t="n">
        <v>289</v>
      </c>
      <c r="F22" s="15" t="n">
        <v>304</v>
      </c>
    </row>
    <row r="23">
      <c r="A23" s="14" t="inlineStr">
        <is>
          <t xml:space="preserve">  Utilities &amp; Telecom</t>
        </is>
      </c>
      <c r="B23" s="15" t="n">
        <v>60</v>
      </c>
      <c r="C23" s="15" t="n">
        <v>63</v>
      </c>
      <c r="D23" s="15" t="n">
        <v>66</v>
      </c>
      <c r="E23" s="15" t="n">
        <v>69</v>
      </c>
      <c r="F23" s="15" t="n">
        <v>73</v>
      </c>
    </row>
    <row r="24">
      <c r="A24" s="14" t="inlineStr">
        <is>
          <t xml:space="preserve">  IT &amp; Systems</t>
        </is>
      </c>
      <c r="B24" s="15" t="n">
        <v>150</v>
      </c>
      <c r="C24" s="15" t="n">
        <v>158</v>
      </c>
      <c r="D24" s="15" t="n">
        <v>165</v>
      </c>
      <c r="E24" s="15" t="n">
        <v>174</v>
      </c>
      <c r="F24" s="15" t="n">
        <v>182</v>
      </c>
    </row>
    <row r="25">
      <c r="A25" s="14" t="inlineStr">
        <is>
          <t xml:space="preserve">  Regulatory &amp; QA</t>
        </is>
      </c>
      <c r="B25" s="15" t="n">
        <v>200</v>
      </c>
      <c r="C25" s="15" t="n">
        <v>180</v>
      </c>
      <c r="D25" s="15" t="n">
        <v>350</v>
      </c>
      <c r="E25" s="15" t="n">
        <v>400</v>
      </c>
      <c r="F25" s="15" t="n">
        <v>400</v>
      </c>
    </row>
    <row r="26">
      <c r="A26" s="14" t="inlineStr">
        <is>
          <t xml:space="preserve">  Hiring Costs</t>
        </is>
      </c>
      <c r="B26" s="15" t="n">
        <v>60</v>
      </c>
      <c r="C26" s="15" t="n">
        <v>62</v>
      </c>
      <c r="D26" s="15" t="n">
        <v>65</v>
      </c>
      <c r="E26" s="15" t="n">
        <v>69</v>
      </c>
      <c r="F26" s="15" t="n">
        <v>72</v>
      </c>
    </row>
    <row r="27">
      <c r="A27" s="14" t="inlineStr">
        <is>
          <t xml:space="preserve">  Insurance</t>
        </is>
      </c>
      <c r="B27" s="15" t="n">
        <v>78</v>
      </c>
      <c r="C27" s="15" t="n">
        <v>75</v>
      </c>
      <c r="D27" s="15" t="n">
        <v>63</v>
      </c>
      <c r="E27" s="15" t="n">
        <v>87</v>
      </c>
      <c r="F27" s="15" t="n">
        <v>69</v>
      </c>
    </row>
    <row r="28">
      <c r="A28" s="7" t="inlineStr">
        <is>
          <t>TOTAL G&amp;A</t>
        </is>
      </c>
      <c r="B28" s="8">
        <f>SUM(B20:B27)</f>
        <v/>
      </c>
      <c r="C28" s="8">
        <f>SUM(C20:C27)</f>
        <v/>
      </c>
      <c r="D28" s="8">
        <f>SUM(D20:D27)</f>
        <v/>
      </c>
      <c r="E28" s="8">
        <f>SUM(E20:E27)</f>
        <v/>
      </c>
      <c r="F28" s="8">
        <f>SUM(F20:F27)</f>
        <v/>
      </c>
    </row>
    <row r="30">
      <c r="A30" s="4" t="inlineStr">
        <is>
          <t>SALES &amp; MARKETING</t>
        </is>
      </c>
      <c r="B30" s="4" t="n"/>
      <c r="C30" s="4" t="n"/>
      <c r="D30" s="4" t="n"/>
      <c r="E30" s="4" t="n"/>
      <c r="F30" s="4" t="n"/>
    </row>
    <row r="31">
      <c r="A31" s="14" t="inlineStr">
        <is>
          <t xml:space="preserve">  S&amp;M Labor</t>
        </is>
      </c>
      <c r="B31" s="15" t="n">
        <v>0</v>
      </c>
      <c r="C31" s="15" t="n">
        <v>147</v>
      </c>
      <c r="D31" s="15" t="n">
        <v>413</v>
      </c>
      <c r="E31" s="15" t="n">
        <v>433</v>
      </c>
      <c r="F31" s="15" t="n">
        <v>455</v>
      </c>
    </row>
    <row r="32">
      <c r="A32" s="14" t="inlineStr">
        <is>
          <t xml:space="preserve">  Marketing &amp; Supplies</t>
        </is>
      </c>
      <c r="B32" s="15" t="n">
        <v>30</v>
      </c>
      <c r="C32" s="15" t="n">
        <v>33</v>
      </c>
      <c r="D32" s="15" t="n">
        <v>35</v>
      </c>
      <c r="E32" s="15" t="n">
        <v>37</v>
      </c>
      <c r="F32" s="15" t="n">
        <v>38</v>
      </c>
    </row>
    <row r="33">
      <c r="A33" s="14" t="inlineStr">
        <is>
          <t xml:space="preserve">  Travel</t>
        </is>
      </c>
      <c r="B33" s="15" t="n">
        <v>30</v>
      </c>
      <c r="C33" s="15" t="n">
        <v>32</v>
      </c>
      <c r="D33" s="15" t="n">
        <v>33</v>
      </c>
      <c r="E33" s="15" t="n">
        <v>35</v>
      </c>
      <c r="F33" s="15" t="n">
        <v>36</v>
      </c>
    </row>
    <row r="34">
      <c r="A34" s="14" t="inlineStr">
        <is>
          <t xml:space="preserve">  Advertising</t>
        </is>
      </c>
      <c r="B34" s="15" t="n">
        <v>20</v>
      </c>
      <c r="C34" s="15" t="n">
        <v>20</v>
      </c>
      <c r="D34" s="15" t="n">
        <v>20</v>
      </c>
      <c r="E34" s="15" t="n">
        <v>21</v>
      </c>
      <c r="F34" s="15" t="n">
        <v>24</v>
      </c>
    </row>
    <row r="35">
      <c r="A35" s="7" t="inlineStr">
        <is>
          <t>TOTAL S&amp;M</t>
        </is>
      </c>
      <c r="B35" s="8">
        <f>SUM(B31:B34)</f>
        <v/>
      </c>
      <c r="C35" s="8">
        <f>SUM(C31:C34)</f>
        <v/>
      </c>
      <c r="D35" s="8">
        <f>SUM(D31:D34)</f>
        <v/>
      </c>
      <c r="E35" s="8">
        <f>SUM(E31:E34)</f>
        <v/>
      </c>
      <c r="F35" s="8">
        <f>SUM(F31:F34)</f>
        <v/>
      </c>
    </row>
    <row r="37">
      <c r="A37" s="19" t="inlineStr">
        <is>
          <t>TOTAL OPERATING EXPENSES</t>
        </is>
      </c>
      <c r="B37" s="20">
        <f>B28+B35</f>
        <v/>
      </c>
      <c r="C37" s="20">
        <f>C28+C35</f>
        <v/>
      </c>
      <c r="D37" s="20">
        <f>D28+D35</f>
        <v/>
      </c>
      <c r="E37" s="20">
        <f>E28+E35</f>
        <v/>
      </c>
      <c r="F37" s="20">
        <f>F28+F35</f>
        <v/>
      </c>
    </row>
    <row r="39">
      <c r="A39" s="7" t="inlineStr">
        <is>
          <t>EBITDA</t>
        </is>
      </c>
      <c r="B39" s="8">
        <f>B16-B37</f>
        <v/>
      </c>
      <c r="C39" s="8">
        <f>C16-C37</f>
        <v/>
      </c>
      <c r="D39" s="8">
        <f>D16-D37</f>
        <v/>
      </c>
      <c r="E39" s="8">
        <f>E16-E37</f>
        <v/>
      </c>
      <c r="F39" s="8">
        <f>F16-F37</f>
        <v/>
      </c>
    </row>
    <row r="40">
      <c r="A40" s="11" t="inlineStr">
        <is>
          <t>EBITDA Margin %</t>
        </is>
      </c>
      <c r="B40" s="13">
        <f>IF(B6=0,0,B39/B6)</f>
        <v/>
      </c>
      <c r="C40" s="13">
        <f>IF(C6=0,0,C39/C6)</f>
        <v/>
      </c>
      <c r="D40" s="13">
        <f>IF(D6=0,0,D39/D6)</f>
        <v/>
      </c>
      <c r="E40" s="13">
        <f>IF(E6=0,0,E39/E6)</f>
        <v/>
      </c>
      <c r="F40" s="13">
        <f>IF(F6=0,0,F39/F6)</f>
        <v/>
      </c>
    </row>
    <row r="42">
      <c r="A42" s="14" t="inlineStr">
        <is>
          <t>Depreciation</t>
        </is>
      </c>
      <c r="B42" s="15" t="n">
        <v>500</v>
      </c>
      <c r="C42" s="15" t="n">
        <v>640</v>
      </c>
      <c r="D42" s="15" t="n">
        <v>755</v>
      </c>
      <c r="E42" s="15" t="n">
        <v>870</v>
      </c>
      <c r="F42" s="15" t="n">
        <v>870</v>
      </c>
    </row>
    <row r="43">
      <c r="A43" s="19" t="inlineStr">
        <is>
          <t>EBIT</t>
        </is>
      </c>
      <c r="B43" s="20">
        <f>B39-B42</f>
        <v/>
      </c>
      <c r="C43" s="20">
        <f>C39-C42</f>
        <v/>
      </c>
      <c r="D43" s="20">
        <f>D39-D42</f>
        <v/>
      </c>
      <c r="E43" s="20">
        <f>E39-E42</f>
        <v/>
      </c>
      <c r="F43" s="20">
        <f>F39-F42</f>
        <v/>
      </c>
    </row>
    <row r="44">
      <c r="A44" s="16" t="inlineStr">
        <is>
          <t>Zakat (2.5%)</t>
        </is>
      </c>
      <c r="B44" s="17">
        <f>IF(B43&gt;0,B43*0.025,0)</f>
        <v/>
      </c>
      <c r="C44" s="17">
        <f>IF(C43&gt;0,C43*0.025,0)</f>
        <v/>
      </c>
      <c r="D44" s="17">
        <f>IF(D43&gt;0,D43*0.025,0)</f>
        <v/>
      </c>
      <c r="E44" s="17">
        <f>IF(E43&gt;0,E43*0.025,0)</f>
        <v/>
      </c>
      <c r="F44" s="17">
        <f>IF(F43&gt;0,F43*0.025,0)</f>
        <v/>
      </c>
    </row>
    <row r="45">
      <c r="A45" s="22" t="inlineStr">
        <is>
          <t>NET INCOME</t>
        </is>
      </c>
      <c r="B45" s="23">
        <f>B43-B44</f>
        <v/>
      </c>
      <c r="C45" s="23">
        <f>C43-C44</f>
        <v/>
      </c>
      <c r="D45" s="23">
        <f>D43-D44</f>
        <v/>
      </c>
      <c r="E45" s="23">
        <f>E43-E44</f>
        <v/>
      </c>
      <c r="F45" s="23">
        <f>F43-F44</f>
        <v/>
      </c>
    </row>
    <row r="46">
      <c r="A46" s="11" t="inlineStr">
        <is>
          <t>Net Margin %</t>
        </is>
      </c>
      <c r="B46" s="13">
        <f>IF(B6=0,0,B45/B6)</f>
        <v/>
      </c>
      <c r="C46" s="13">
        <f>IF(C6=0,0,C45/C6)</f>
        <v/>
      </c>
      <c r="D46" s="13">
        <f>IF(D6=0,0,D45/D6)</f>
        <v/>
      </c>
      <c r="E46" s="13">
        <f>IF(E6=0,0,E45/E6)</f>
        <v/>
      </c>
      <c r="F46" s="13">
        <f>IF(F6=0,0,F45/F6)</f>
        <v/>
      </c>
    </row>
    <row r="48">
      <c r="A48" s="4" t="inlineStr">
        <is>
          <t>OPERATIONAL METRICS</t>
        </is>
      </c>
      <c r="B48" s="4" t="n"/>
      <c r="C48" s="4" t="n"/>
      <c r="D48" s="4" t="n"/>
      <c r="E48" s="4" t="n"/>
      <c r="F48" s="4" t="n"/>
    </row>
    <row r="49">
      <c r="A49" s="14" t="inlineStr">
        <is>
          <t>Headcount</t>
        </is>
      </c>
      <c r="B49" s="15" t="n">
        <v>12</v>
      </c>
      <c r="C49" s="15" t="n">
        <v>18</v>
      </c>
      <c r="D49" s="15" t="n">
        <v>28</v>
      </c>
      <c r="E49" s="15" t="n">
        <v>35</v>
      </c>
      <c r="F49" s="15" t="n">
        <v>42</v>
      </c>
    </row>
    <row r="50">
      <c r="A50" s="14" t="inlineStr">
        <is>
          <t>BE Studies Conducted/Year</t>
        </is>
      </c>
      <c r="B50" s="15" t="n">
        <v>10</v>
      </c>
      <c r="C50" s="15" t="n">
        <v>15</v>
      </c>
      <c r="D50" s="15" t="n">
        <v>25</v>
      </c>
      <c r="E50" s="15" t="n">
        <v>30</v>
      </c>
      <c r="F50" s="15" t="n">
        <v>40</v>
      </c>
    </row>
    <row r="51">
      <c r="A51" s="16" t="inlineStr">
        <is>
          <t>Revenue per Study</t>
        </is>
      </c>
      <c r="B51" s="17">
        <f>IF(B50=0,0,B6/B50)</f>
        <v/>
      </c>
      <c r="C51" s="17">
        <f>IF(C50=0,0,C6/C50)</f>
        <v/>
      </c>
      <c r="D51" s="17">
        <f>IF(D50=0,0,D6/D50)</f>
        <v/>
      </c>
      <c r="E51" s="17">
        <f>IF(E50=0,0,E6/E50)</f>
        <v/>
      </c>
      <c r="F51" s="17">
        <f>IF(F50=0,0,F6/F50)</f>
        <v/>
      </c>
    </row>
    <row r="52">
      <c r="A52" s="16" t="inlineStr">
        <is>
          <t>Revenue per Employee</t>
        </is>
      </c>
      <c r="B52" s="17">
        <f>IF(B49=0,0,B6/B49)</f>
        <v/>
      </c>
      <c r="C52" s="17">
        <f>IF(C49=0,0,C6/C49)</f>
        <v/>
      </c>
      <c r="D52" s="17">
        <f>IF(D49=0,0,D6/D49)</f>
        <v/>
      </c>
      <c r="E52" s="17">
        <f>IF(E49=0,0,E6/E49)</f>
        <v/>
      </c>
      <c r="F52" s="17">
        <f>IF(F49=0,0,F6/F49)</f>
        <v/>
      </c>
    </row>
    <row r="54">
      <c r="A54" s="4" t="inlineStr">
        <is>
          <t>CAPITAL</t>
        </is>
      </c>
      <c r="B54" s="4" t="n"/>
      <c r="C54" s="4" t="n"/>
      <c r="D54" s="4" t="n"/>
      <c r="E54" s="4" t="n"/>
      <c r="F54" s="4" t="n"/>
    </row>
    <row r="55">
      <c r="A55" s="14" t="inlineStr">
        <is>
          <t>Capex</t>
        </is>
      </c>
      <c r="B55" s="15" t="n">
        <v>5000</v>
      </c>
      <c r="C55" s="15" t="n">
        <v>1400</v>
      </c>
      <c r="D55" s="15" t="n">
        <v>1150</v>
      </c>
      <c r="E55" s="15" t="n">
        <v>0</v>
      </c>
      <c r="F55" s="15" t="n">
        <v>0</v>
      </c>
    </row>
    <row r="56">
      <c r="A56" s="16" t="inlineStr">
        <is>
          <t>Cumulative Capex</t>
        </is>
      </c>
      <c r="B56" s="17">
        <f>B55</f>
        <v/>
      </c>
      <c r="C56" s="17">
        <f>B56+C55</f>
        <v/>
      </c>
      <c r="D56" s="17">
        <f>C56+D55</f>
        <v/>
      </c>
      <c r="E56" s="17">
        <f>D56+E55</f>
        <v/>
      </c>
      <c r="F56" s="17">
        <f>E56+F55</f>
        <v/>
      </c>
    </row>
    <row r="57">
      <c r="A57" s="14" t="inlineStr">
        <is>
          <t>Government Grant</t>
        </is>
      </c>
      <c r="B57" s="15" t="n">
        <v>2000</v>
      </c>
      <c r="C57" s="15" t="n">
        <v>0</v>
      </c>
      <c r="D57" s="15" t="n">
        <v>0</v>
      </c>
      <c r="E57" s="15" t="n">
        <v>0</v>
      </c>
      <c r="F57" s="15" t="n">
        <v>0</v>
      </c>
    </row>
    <row r="58">
      <c r="A58" s="14" t="inlineStr">
        <is>
          <t>Equity Contribution</t>
        </is>
      </c>
      <c r="B58" s="15" t="n">
        <v>6206</v>
      </c>
      <c r="C58" s="15" t="n">
        <v>1400</v>
      </c>
      <c r="D58" s="15" t="n">
        <v>1150</v>
      </c>
      <c r="E58" s="15" t="n">
        <v>0</v>
      </c>
      <c r="F58" s="15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F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8" t="inlineStr">
        <is>
          <t>SAUDI EVIDENCE PLATFORM (TKG-05)</t>
        </is>
      </c>
    </row>
    <row r="2">
      <c r="A2" s="2" t="inlineStr">
        <is>
          <t>P&amp;L Statement | SAR Thousands | Conservative</t>
        </is>
      </c>
    </row>
    <row r="3">
      <c r="A3" s="3" t="inlineStr"/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</row>
    <row r="4">
      <c r="A4" s="4" t="inlineStr">
        <is>
          <t>REVENUE</t>
        </is>
      </c>
      <c r="B4" s="4" t="n"/>
      <c r="C4" s="4" t="n"/>
      <c r="D4" s="4" t="n"/>
      <c r="E4" s="4" t="n"/>
      <c r="F4" s="4" t="n"/>
    </row>
    <row r="5">
      <c r="A5" s="14" t="inlineStr">
        <is>
          <t>1. CHI Partnership / Govt Contract</t>
        </is>
      </c>
      <c r="B5" s="15" t="n">
        <v>0</v>
      </c>
      <c r="C5" s="15" t="n">
        <v>500</v>
      </c>
      <c r="D5" s="15" t="n">
        <v>2000</v>
      </c>
      <c r="E5" s="15" t="n">
        <v>4000</v>
      </c>
      <c r="F5" s="15" t="n">
        <v>7000</v>
      </c>
    </row>
    <row r="6">
      <c r="A6" s="14" t="inlineStr">
        <is>
          <t>2. Institutional Subscriptions (B2B)</t>
        </is>
      </c>
      <c r="B6" s="15" t="n">
        <v>0</v>
      </c>
      <c r="C6" s="15" t="n">
        <v>300</v>
      </c>
      <c r="D6" s="15" t="n">
        <v>1500</v>
      </c>
      <c r="E6" s="15" t="n">
        <v>3500</v>
      </c>
      <c r="F6" s="15" t="n">
        <v>7000</v>
      </c>
    </row>
    <row r="7">
      <c r="A7" s="14" t="inlineStr">
        <is>
          <t>3. Pharma Data Packages</t>
        </is>
      </c>
      <c r="B7" s="15" t="n">
        <v>0</v>
      </c>
      <c r="C7" s="15" t="n">
        <v>0</v>
      </c>
      <c r="D7" s="15" t="n">
        <v>500</v>
      </c>
      <c r="E7" s="15" t="n">
        <v>1500</v>
      </c>
      <c r="F7" s="15" t="n">
        <v>3000</v>
      </c>
    </row>
    <row r="8">
      <c r="A8" s="14" t="inlineStr">
        <is>
          <t>4. CME Platform Fees</t>
        </is>
      </c>
      <c r="B8" s="15" t="n">
        <v>0</v>
      </c>
      <c r="C8" s="15" t="n">
        <v>200</v>
      </c>
      <c r="D8" s="15" t="n">
        <v>800</v>
      </c>
      <c r="E8" s="15" t="n">
        <v>1500</v>
      </c>
      <c r="F8" s="15" t="n">
        <v>2500</v>
      </c>
    </row>
    <row r="9">
      <c r="A9" s="7" t="inlineStr">
        <is>
          <t>TOTAL REVENUE</t>
        </is>
      </c>
      <c r="B9" s="8">
        <f>SUM(B5:B8)</f>
        <v/>
      </c>
      <c r="C9" s="8">
        <f>SUM(C5:C8)</f>
        <v/>
      </c>
      <c r="D9" s="8">
        <f>SUM(D5:D8)</f>
        <v/>
      </c>
      <c r="E9" s="8">
        <f>SUM(E5:E8)</f>
        <v/>
      </c>
      <c r="F9" s="8">
        <f>SUM(F5:F8)</f>
        <v/>
      </c>
    </row>
    <row r="10">
      <c r="A10" s="11" t="inlineStr">
        <is>
          <t>Revenue Growth %</t>
        </is>
      </c>
      <c r="B10" s="12" t="inlineStr">
        <is>
          <t>N/A</t>
        </is>
      </c>
      <c r="C10" s="13">
        <f>IF(B9=0,0,(C9-B9)/B9)</f>
        <v/>
      </c>
      <c r="D10" s="13">
        <f>IF(C9=0,0,(D9-C9)/C9)</f>
        <v/>
      </c>
      <c r="E10" s="13">
        <f>IF(D9=0,0,(E9-D9)/D9)</f>
        <v/>
      </c>
      <c r="F10" s="13">
        <f>IF(E9=0,0,(F9-E9)/E9)</f>
        <v/>
      </c>
    </row>
    <row r="12">
      <c r="A12" s="4" t="inlineStr">
        <is>
          <t>DIRECT COSTS (COGS)</t>
        </is>
      </c>
      <c r="B12" s="4" t="n"/>
      <c r="C12" s="4" t="n"/>
      <c r="D12" s="4" t="n"/>
      <c r="E12" s="4" t="n"/>
      <c r="F12" s="4" t="n"/>
    </row>
    <row r="13">
      <c r="A13" s="14" t="inlineStr">
        <is>
          <t xml:space="preserve">  Cloud Infrastructure (sovereign)</t>
        </is>
      </c>
      <c r="B13" s="15" t="n">
        <v>200</v>
      </c>
      <c r="C13" s="15" t="n">
        <v>300</v>
      </c>
      <c r="D13" s="15" t="n">
        <v>500</v>
      </c>
      <c r="E13" s="15" t="n">
        <v>800</v>
      </c>
      <c r="F13" s="15" t="n">
        <v>1200</v>
      </c>
    </row>
    <row r="14">
      <c r="A14" s="14" t="inlineStr">
        <is>
          <t xml:space="preserve">  DeepEvidence API Costs</t>
        </is>
      </c>
      <c r="B14" s="15" t="n">
        <v>100</v>
      </c>
      <c r="C14" s="15" t="n">
        <v>200</v>
      </c>
      <c r="D14" s="15" t="n">
        <v>400</v>
      </c>
      <c r="E14" s="15" t="n">
        <v>700</v>
      </c>
      <c r="F14" s="15" t="n">
        <v>1200</v>
      </c>
    </row>
    <row r="15">
      <c r="A15" s="14" t="inlineStr">
        <is>
          <t xml:space="preserve">  Content Licensing &amp; Ingestion</t>
        </is>
      </c>
      <c r="B15" s="15" t="n">
        <v>50</v>
      </c>
      <c r="C15" s="15" t="n">
        <v>100</v>
      </c>
      <c r="D15" s="15" t="n">
        <v>200</v>
      </c>
      <c r="E15" s="15" t="n">
        <v>400</v>
      </c>
      <c r="F15" s="15" t="n">
        <v>600</v>
      </c>
    </row>
    <row r="16">
      <c r="A16" s="14" t="inlineStr">
        <is>
          <t xml:space="preserve">  Data Processing &amp; NLP (CII fees)</t>
        </is>
      </c>
      <c r="B16" s="15" t="n">
        <v>100</v>
      </c>
      <c r="C16" s="15" t="n">
        <v>150</v>
      </c>
      <c r="D16" s="15" t="n">
        <v>300</v>
      </c>
      <c r="E16" s="15" t="n">
        <v>500</v>
      </c>
      <c r="F16" s="15" t="n">
        <v>800</v>
      </c>
    </row>
    <row r="17">
      <c r="A17" s="14" t="inlineStr">
        <is>
          <t xml:space="preserve">  Support &amp; Helpdesk</t>
        </is>
      </c>
      <c r="B17" s="15" t="n">
        <v>50</v>
      </c>
      <c r="C17" s="15" t="n">
        <v>50</v>
      </c>
      <c r="D17" s="15" t="n">
        <v>100</v>
      </c>
      <c r="E17" s="15" t="n">
        <v>100</v>
      </c>
      <c r="F17" s="15" t="n">
        <v>200</v>
      </c>
    </row>
    <row r="18">
      <c r="A18" s="7" t="inlineStr">
        <is>
          <t>TOTAL COGS</t>
        </is>
      </c>
      <c r="B18" s="8">
        <f>SUM(B13:B17)</f>
        <v/>
      </c>
      <c r="C18" s="8">
        <f>SUM(C13:C17)</f>
        <v/>
      </c>
      <c r="D18" s="8">
        <f>SUM(D13:D17)</f>
        <v/>
      </c>
      <c r="E18" s="8">
        <f>SUM(E13:E17)</f>
        <v/>
      </c>
      <c r="F18" s="8">
        <f>SUM(F13:F17)</f>
        <v/>
      </c>
    </row>
    <row r="19">
      <c r="A19" s="19" t="inlineStr">
        <is>
          <t>GROSS PROFIT</t>
        </is>
      </c>
      <c r="B19" s="20">
        <f>B9-B18</f>
        <v/>
      </c>
      <c r="C19" s="20">
        <f>C9-C18</f>
        <v/>
      </c>
      <c r="D19" s="20">
        <f>D9-D18</f>
        <v/>
      </c>
      <c r="E19" s="20">
        <f>E9-E18</f>
        <v/>
      </c>
      <c r="F19" s="20">
        <f>F9-F18</f>
        <v/>
      </c>
    </row>
    <row r="20">
      <c r="A20" s="11" t="inlineStr">
        <is>
          <t>Gross Margin %</t>
        </is>
      </c>
      <c r="B20" s="13">
        <f>IF(B9=0,0,B19/B9)</f>
        <v/>
      </c>
      <c r="C20" s="13">
        <f>IF(C9=0,0,C19/C9)</f>
        <v/>
      </c>
      <c r="D20" s="13">
        <f>IF(D9=0,0,D19/D9)</f>
        <v/>
      </c>
      <c r="E20" s="13">
        <f>IF(E9=0,0,E19/E9)</f>
        <v/>
      </c>
      <c r="F20" s="13">
        <f>IF(F9=0,0,F19/F9)</f>
        <v/>
      </c>
    </row>
    <row r="22">
      <c r="A22" s="4" t="inlineStr">
        <is>
          <t>GENERAL &amp; ADMINISTRATIVE</t>
        </is>
      </c>
      <c r="B22" s="4" t="n"/>
      <c r="C22" s="4" t="n"/>
      <c r="D22" s="4" t="n"/>
      <c r="E22" s="4" t="n"/>
      <c r="F22" s="4" t="n"/>
    </row>
    <row r="23">
      <c r="A23" s="14" t="inlineStr">
        <is>
          <t xml:space="preserve">  Engineering Team (salaries)</t>
        </is>
      </c>
      <c r="B23" s="15" t="n">
        <v>1200</v>
      </c>
      <c r="C23" s="15" t="n">
        <v>1500</v>
      </c>
      <c r="D23" s="15" t="n">
        <v>1800</v>
      </c>
      <c r="E23" s="15" t="n">
        <v>2100</v>
      </c>
      <c r="F23" s="15" t="n">
        <v>2400</v>
      </c>
    </row>
    <row r="24">
      <c r="A24" s="14" t="inlineStr">
        <is>
          <t xml:space="preserve">  Product &amp; Design</t>
        </is>
      </c>
      <c r="B24" s="15" t="n">
        <v>300</v>
      </c>
      <c r="C24" s="15" t="n">
        <v>400</v>
      </c>
      <c r="D24" s="15" t="n">
        <v>500</v>
      </c>
      <c r="E24" s="15" t="n">
        <v>500</v>
      </c>
      <c r="F24" s="15" t="n">
        <v>600</v>
      </c>
    </row>
    <row r="25">
      <c r="A25" s="14" t="inlineStr">
        <is>
          <t xml:space="preserve">  Operations &amp; Admin</t>
        </is>
      </c>
      <c r="B25" s="15" t="n">
        <v>200</v>
      </c>
      <c r="C25" s="15" t="n">
        <v>250</v>
      </c>
      <c r="D25" s="15" t="n">
        <v>300</v>
      </c>
      <c r="E25" s="15" t="n">
        <v>400</v>
      </c>
      <c r="F25" s="15" t="n">
        <v>500</v>
      </c>
    </row>
    <row r="26">
      <c r="A26" s="14" t="inlineStr">
        <is>
          <t xml:space="preserve">  Security &amp; Compliance (NCA/PDPL)</t>
        </is>
      </c>
      <c r="B26" s="15" t="n">
        <v>150</v>
      </c>
      <c r="C26" s="15" t="n">
        <v>200</v>
      </c>
      <c r="D26" s="15" t="n">
        <v>250</v>
      </c>
      <c r="E26" s="15" t="n">
        <v>300</v>
      </c>
      <c r="F26" s="15" t="n">
        <v>300</v>
      </c>
    </row>
    <row r="27">
      <c r="A27" s="14" t="inlineStr">
        <is>
          <t xml:space="preserve">  Office &amp; Misc</t>
        </is>
      </c>
      <c r="B27" s="15" t="n">
        <v>150</v>
      </c>
      <c r="C27" s="15" t="n">
        <v>150</v>
      </c>
      <c r="D27" s="15" t="n">
        <v>150</v>
      </c>
      <c r="E27" s="15" t="n">
        <v>200</v>
      </c>
      <c r="F27" s="15" t="n">
        <v>200</v>
      </c>
    </row>
    <row r="28">
      <c r="A28" s="7" t="inlineStr">
        <is>
          <t>TOTAL G&amp;A</t>
        </is>
      </c>
      <c r="B28" s="8">
        <f>SUM(B23:B27)</f>
        <v/>
      </c>
      <c r="C28" s="8">
        <f>SUM(C23:C27)</f>
        <v/>
      </c>
      <c r="D28" s="8">
        <f>SUM(D23:D27)</f>
        <v/>
      </c>
      <c r="E28" s="8">
        <f>SUM(E23:E27)</f>
        <v/>
      </c>
      <c r="F28" s="8">
        <f>SUM(F23:F27)</f>
        <v/>
      </c>
    </row>
    <row r="30">
      <c r="A30" s="4" t="inlineStr">
        <is>
          <t>SALES &amp; MARKETING</t>
        </is>
      </c>
      <c r="B30" s="4" t="n"/>
      <c r="C30" s="4" t="n"/>
      <c r="D30" s="4" t="n"/>
      <c r="E30" s="4" t="n"/>
      <c r="F30" s="4" t="n"/>
    </row>
    <row r="31">
      <c r="A31" s="14" t="inlineStr">
        <is>
          <t xml:space="preserve">  Growth Marketing</t>
        </is>
      </c>
      <c r="B31" s="15" t="n">
        <v>80</v>
      </c>
      <c r="C31" s="15" t="n">
        <v>150</v>
      </c>
      <c r="D31" s="15" t="n">
        <v>250</v>
      </c>
      <c r="E31" s="15" t="n">
        <v>350</v>
      </c>
      <c r="F31" s="15" t="n">
        <v>450</v>
      </c>
    </row>
    <row r="32">
      <c r="A32" s="14" t="inlineStr">
        <is>
          <t xml:space="preserve">  Institutional Sales</t>
        </is>
      </c>
      <c r="B32" s="15" t="n">
        <v>60</v>
      </c>
      <c r="C32" s="15" t="n">
        <v>120</v>
      </c>
      <c r="D32" s="15" t="n">
        <v>200</v>
      </c>
      <c r="E32" s="15" t="n">
        <v>300</v>
      </c>
      <c r="F32" s="15" t="n">
        <v>350</v>
      </c>
    </row>
    <row r="33">
      <c r="A33" s="14" t="inlineStr">
        <is>
          <t xml:space="preserve">  Partnerships &amp; BD</t>
        </is>
      </c>
      <c r="B33" s="15" t="n">
        <v>40</v>
      </c>
      <c r="C33" s="15" t="n">
        <v>80</v>
      </c>
      <c r="D33" s="15" t="n">
        <v>100</v>
      </c>
      <c r="E33" s="15" t="n">
        <v>100</v>
      </c>
      <c r="F33" s="15" t="n">
        <v>150</v>
      </c>
    </row>
    <row r="34">
      <c r="A34" s="14" t="inlineStr">
        <is>
          <t xml:space="preserve">  Content Marketing</t>
        </is>
      </c>
      <c r="B34" s="15" t="n">
        <v>20</v>
      </c>
      <c r="C34" s="15" t="n">
        <v>50</v>
      </c>
      <c r="D34" s="15" t="n">
        <v>50</v>
      </c>
      <c r="E34" s="15" t="n">
        <v>50</v>
      </c>
      <c r="F34" s="15" t="n">
        <v>50</v>
      </c>
    </row>
    <row r="35">
      <c r="A35" s="7" t="inlineStr">
        <is>
          <t>TOTAL S&amp;M</t>
        </is>
      </c>
      <c r="B35" s="8">
        <f>SUM(B31:B34)</f>
        <v/>
      </c>
      <c r="C35" s="8">
        <f>SUM(C31:C34)</f>
        <v/>
      </c>
      <c r="D35" s="8">
        <f>SUM(D31:D34)</f>
        <v/>
      </c>
      <c r="E35" s="8">
        <f>SUM(E31:E34)</f>
        <v/>
      </c>
      <c r="F35" s="8">
        <f>SUM(F31:F34)</f>
        <v/>
      </c>
    </row>
    <row r="37">
      <c r="A37" s="19" t="inlineStr">
        <is>
          <t>TOTAL OPERATING EXPENSES</t>
        </is>
      </c>
      <c r="B37" s="20">
        <f>B28+B35</f>
        <v/>
      </c>
      <c r="C37" s="20">
        <f>C28+C35</f>
        <v/>
      </c>
      <c r="D37" s="20">
        <f>D28+D35</f>
        <v/>
      </c>
      <c r="E37" s="20">
        <f>E28+E35</f>
        <v/>
      </c>
      <c r="F37" s="20">
        <f>F28+F35</f>
        <v/>
      </c>
    </row>
    <row r="39">
      <c r="A39" s="7" t="inlineStr">
        <is>
          <t>EBITDA</t>
        </is>
      </c>
      <c r="B39" s="8">
        <f>B19-B37</f>
        <v/>
      </c>
      <c r="C39" s="8">
        <f>C19-C37</f>
        <v/>
      </c>
      <c r="D39" s="8">
        <f>D19-D37</f>
        <v/>
      </c>
      <c r="E39" s="8">
        <f>E19-E37</f>
        <v/>
      </c>
      <c r="F39" s="8">
        <f>F19-F37</f>
        <v/>
      </c>
    </row>
    <row r="40">
      <c r="A40" s="11" t="inlineStr">
        <is>
          <t>EBITDA Margin %</t>
        </is>
      </c>
      <c r="B40" s="13">
        <f>IF(B9=0,0,B39/B9)</f>
        <v/>
      </c>
      <c r="C40" s="13">
        <f>IF(C9=0,0,C39/C9)</f>
        <v/>
      </c>
      <c r="D40" s="13">
        <f>IF(D9=0,0,D39/D9)</f>
        <v/>
      </c>
      <c r="E40" s="13">
        <f>IF(E9=0,0,E39/E9)</f>
        <v/>
      </c>
      <c r="F40" s="13">
        <f>IF(F9=0,0,F39/F9)</f>
        <v/>
      </c>
    </row>
    <row r="42">
      <c r="A42" s="4" t="inlineStr">
        <is>
          <t>OPERATIONAL METRICS</t>
        </is>
      </c>
      <c r="B42" s="4" t="n"/>
      <c r="C42" s="4" t="n"/>
      <c r="D42" s="4" t="n"/>
      <c r="E42" s="4" t="n"/>
      <c r="F42" s="4" t="n"/>
    </row>
    <row r="43">
      <c r="A43" s="14" t="inlineStr">
        <is>
          <t>Headcount</t>
        </is>
      </c>
      <c r="B43" s="15" t="n">
        <v>6</v>
      </c>
      <c r="C43" s="15" t="n">
        <v>10</v>
      </c>
      <c r="D43" s="15" t="n">
        <v>15</v>
      </c>
      <c r="E43" s="15" t="n">
        <v>20</v>
      </c>
      <c r="F43" s="15" t="n">
        <v>25</v>
      </c>
    </row>
    <row r="44">
      <c r="A44" s="14" t="inlineStr">
        <is>
          <t>Active Clinician Users</t>
        </is>
      </c>
      <c r="B44" s="15" t="n">
        <v>500</v>
      </c>
      <c r="C44" s="15" t="n">
        <v>2000</v>
      </c>
      <c r="D44" s="15" t="n">
        <v>10000</v>
      </c>
      <c r="E44" s="15" t="n">
        <v>30000</v>
      </c>
      <c r="F44" s="15" t="n">
        <v>75000</v>
      </c>
    </row>
    <row r="45">
      <c r="A45" s="14" t="inlineStr">
        <is>
          <t>Knowledge Graph Nodes</t>
        </is>
      </c>
      <c r="B45" s="15" t="n">
        <v>16290</v>
      </c>
      <c r="C45" s="15" t="n">
        <v>50000</v>
      </c>
      <c r="D45" s="15" t="n">
        <v>250000</v>
      </c>
      <c r="E45" s="15" t="n">
        <v>1000000</v>
      </c>
      <c r="F45" s="15" t="n">
        <v>5000000</v>
      </c>
    </row>
    <row r="46">
      <c r="A46" s="14" t="inlineStr">
        <is>
          <t>Interactive MNCs</t>
        </is>
      </c>
      <c r="B46" s="15" t="n">
        <v>10</v>
      </c>
      <c r="C46" s="15" t="n">
        <v>70</v>
      </c>
      <c r="D46" s="15" t="n">
        <v>70</v>
      </c>
      <c r="E46" s="15" t="n">
        <v>100</v>
      </c>
      <c r="F46" s="15" t="n">
        <v>150</v>
      </c>
    </row>
    <row r="47">
      <c r="A47" s="16" t="inlineStr">
        <is>
          <t>Revenue per User (SAR)</t>
        </is>
      </c>
      <c r="B47" s="24">
        <f>IF(B44=0,0,B9/B44*1000)</f>
        <v/>
      </c>
      <c r="C47" s="24">
        <f>IF(C44=0,0,C9/C44*1000)</f>
        <v/>
      </c>
      <c r="D47" s="24">
        <f>IF(D44=0,0,D9/D44*1000)</f>
        <v/>
      </c>
      <c r="E47" s="24">
        <f>IF(E44=0,0,E9/E44*1000)</f>
        <v/>
      </c>
      <c r="F47" s="24">
        <f>IF(F44=0,0,F9/F44*1000)</f>
        <v/>
      </c>
    </row>
    <row r="48">
      <c r="A48" s="16" t="inlineStr">
        <is>
          <t>Revenue per Employee</t>
        </is>
      </c>
      <c r="B48" s="17">
        <f>IF(B43=0,0,B9/B43)</f>
        <v/>
      </c>
      <c r="C48" s="17">
        <f>IF(C43=0,0,C9/C43)</f>
        <v/>
      </c>
      <c r="D48" s="17">
        <f>IF(D43=0,0,D9/D43)</f>
        <v/>
      </c>
      <c r="E48" s="17">
        <f>IF(E43=0,0,E9/E43)</f>
        <v/>
      </c>
      <c r="F48" s="17">
        <f>IF(F43=0,0,F9/F43)</f>
        <v/>
      </c>
    </row>
    <row r="50">
      <c r="A50" s="4" t="inlineStr">
        <is>
          <t>FUNDING (NON-DILUTIVE)</t>
        </is>
      </c>
      <c r="B50" s="4" t="n"/>
      <c r="C50" s="4" t="n"/>
      <c r="D50" s="4" t="n"/>
      <c r="E50" s="4" t="n"/>
      <c r="F50" s="4" t="n"/>
    </row>
    <row r="51">
      <c r="A51" s="14" t="inlineStr">
        <is>
          <t>Government Grants (SDAIA/RDIA/NTDP)</t>
        </is>
      </c>
      <c r="B51" s="15" t="n">
        <v>3000</v>
      </c>
      <c r="C51" s="15" t="n">
        <v>4000</v>
      </c>
      <c r="D51" s="15" t="n">
        <v>3000</v>
      </c>
      <c r="E51" s="15" t="n">
        <v>0</v>
      </c>
      <c r="F51" s="15" t="n">
        <v>0</v>
      </c>
    </row>
    <row r="52">
      <c r="A52" s="16" t="inlineStr">
        <is>
          <t>Cumulative Grants</t>
        </is>
      </c>
      <c r="B52" s="17">
        <f>B51</f>
        <v/>
      </c>
      <c r="C52" s="17">
        <f>B52+C51</f>
        <v/>
      </c>
      <c r="D52" s="17">
        <f>C52+D51</f>
        <v/>
      </c>
      <c r="E52" s="17">
        <f>D52+E51</f>
        <v/>
      </c>
      <c r="F52" s="17">
        <f>E52+F51</f>
        <v/>
      </c>
    </row>
    <row r="53">
      <c r="A53" s="16" t="inlineStr">
        <is>
          <t>Cumulative EBITDA</t>
        </is>
      </c>
      <c r="B53" s="17">
        <f>B39</f>
        <v/>
      </c>
      <c r="C53" s="17">
        <f>B53+C39</f>
        <v/>
      </c>
      <c r="D53" s="17">
        <f>C53+D39</f>
        <v/>
      </c>
      <c r="E53" s="17">
        <f>D53+E39</f>
        <v/>
      </c>
      <c r="F53" s="17">
        <f>E53+F39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5" customWidth="1" min="4" max="4"/>
  </cols>
  <sheetData>
    <row r="1">
      <c r="A1" s="3" t="inlineStr">
        <is>
          <t>Category</t>
        </is>
      </c>
      <c r="B1" s="3" t="inlineStr">
        <is>
          <t>Assumption</t>
        </is>
      </c>
      <c r="C1" s="3" t="inlineStr">
        <is>
          <t>Value</t>
        </is>
      </c>
      <c r="D1" s="3" t="inlineStr">
        <is>
          <t>Source / Basis</t>
        </is>
      </c>
      <c r="E1" s="3" t="n"/>
      <c r="F1" s="3" t="n"/>
    </row>
    <row r="2">
      <c r="A2" s="4" t="inlineStr">
        <is>
          <t>GENERAL</t>
        </is>
      </c>
      <c r="B2" s="4" t="inlineStr">
        <is>
          <t>Currency</t>
        </is>
      </c>
      <c r="C2" s="4" t="inlineStr">
        <is>
          <t>SAR (thousands)</t>
        </is>
      </c>
      <c r="D2" s="4" t="inlineStr">
        <is>
          <t>All figures in SAR '000</t>
        </is>
      </c>
    </row>
    <row r="3">
      <c r="A3" s="16" t="inlineStr"/>
      <c r="B3" s="16" t="inlineStr">
        <is>
          <t>Exchange Rate</t>
        </is>
      </c>
      <c r="C3" s="16" t="inlineStr">
        <is>
          <t>1 USD = 3.75 SAR</t>
        </is>
      </c>
      <c r="D3" s="16" t="inlineStr">
        <is>
          <t>SAMA</t>
        </is>
      </c>
    </row>
    <row r="4">
      <c r="A4" s="16" t="inlineStr"/>
      <c r="B4" s="16" t="inlineStr">
        <is>
          <t>Tax/Zakat</t>
        </is>
      </c>
      <c r="C4" s="16" t="inlineStr">
        <is>
          <t>2.5%</t>
        </is>
      </c>
      <c r="D4" s="16" t="inlineStr">
        <is>
          <t>Zakat on Saudi entities</t>
        </is>
      </c>
    </row>
    <row r="5">
      <c r="A5" s="16" t="inlineStr"/>
      <c r="B5" s="16" t="inlineStr">
        <is>
          <t>Discount Rate</t>
        </is>
      </c>
      <c r="C5" s="16" t="inlineStr">
        <is>
          <t>15%</t>
        </is>
      </c>
      <c r="D5" s="16" t="inlineStr">
        <is>
          <t>EM healthcare premium</t>
        </is>
      </c>
    </row>
    <row r="6">
      <c r="A6" s="16" t="inlineStr"/>
      <c r="B6" s="16" t="inlineStr">
        <is>
          <t>Terminal Growth</t>
        </is>
      </c>
      <c r="C6" s="16" t="inlineStr">
        <is>
          <t>3%</t>
        </is>
      </c>
      <c r="D6" s="16" t="inlineStr">
        <is>
          <t>GDP-aligned</t>
        </is>
      </c>
    </row>
    <row r="7">
      <c r="A7" s="16" t="inlineStr"/>
      <c r="B7" s="16" t="inlineStr">
        <is>
          <t>Scenario</t>
        </is>
      </c>
      <c r="C7" s="16" t="inlineStr">
        <is>
          <t>Conservative</t>
        </is>
      </c>
      <c r="D7" s="16" t="inlineStr">
        <is>
          <t>25-35% below mgmt case</t>
        </is>
      </c>
    </row>
    <row r="8">
      <c r="A8" s="16" t="inlineStr"/>
      <c r="B8" s="16" t="inlineStr"/>
      <c r="C8" s="16" t="inlineStr"/>
      <c r="D8" s="16" t="inlineStr"/>
    </row>
    <row r="9">
      <c r="A9" s="4" t="inlineStr">
        <is>
          <t>MARKET</t>
        </is>
      </c>
      <c r="B9" s="4" t="inlineStr">
        <is>
          <t>Healthcare Spend</t>
        </is>
      </c>
      <c r="C9" s="4" t="inlineStr">
        <is>
          <t>SAR 196B/year</t>
        </is>
      </c>
      <c r="D9" s="4" t="inlineStr">
        <is>
          <t>MOH / Vision 2030</t>
        </is>
      </c>
    </row>
    <row r="10">
      <c r="A10" s="16" t="inlineStr"/>
      <c r="B10" s="16" t="inlineStr">
        <is>
          <t>Scientific Societies</t>
        </is>
      </c>
      <c r="C10" s="16" t="inlineStr">
        <is>
          <t>80+</t>
        </is>
      </c>
      <c r="D10" s="16" t="inlineStr">
        <is>
          <t>SCFHS registered</t>
        </is>
      </c>
    </row>
    <row r="11">
      <c r="A11" s="16" t="inlineStr"/>
      <c r="B11" s="16" t="inlineStr">
        <is>
          <t>CME Mandate</t>
        </is>
      </c>
      <c r="C11" s="16" t="inlineStr">
        <is>
          <t>30 credits/yr</t>
        </is>
      </c>
      <c r="D11" s="16" t="inlineStr">
        <is>
          <t>SCFHS regulation</t>
        </is>
      </c>
    </row>
    <row r="12">
      <c r="A12" s="16" t="inlineStr"/>
      <c r="B12" s="16" t="inlineStr">
        <is>
          <t>Licensed Professionals</t>
        </is>
      </c>
      <c r="C12" s="16" t="inlineStr">
        <is>
          <t>300,000+</t>
        </is>
      </c>
      <c r="D12" s="16" t="inlineStr">
        <is>
          <t>SCFHS registry</t>
        </is>
      </c>
    </row>
    <row r="13">
      <c r="A13" s="16" t="inlineStr"/>
      <c r="B13" s="16" t="inlineStr">
        <is>
          <t>Private Hospitals</t>
        </is>
      </c>
      <c r="C13" s="16" t="inlineStr">
        <is>
          <t>400+</t>
        </is>
      </c>
      <c r="D13" s="16" t="inlineStr">
        <is>
          <t>MOH</t>
        </is>
      </c>
    </row>
    <row r="14">
      <c r="A14" s="16" t="inlineStr"/>
      <c r="B14" s="16" t="inlineStr"/>
      <c r="C14" s="16" t="inlineStr"/>
      <c r="D14" s="16" t="inlineStr"/>
    </row>
    <row r="15">
      <c r="A15" s="4" t="inlineStr">
        <is>
          <t>WARAQA</t>
        </is>
      </c>
      <c r="B15" s="4" t="inlineStr">
        <is>
          <t>Society conversion</t>
        </is>
      </c>
      <c r="C15" s="4" t="inlineStr">
        <is>
          <t>3&gt;5&gt;10&gt;15&gt;20</t>
        </is>
      </c>
      <c r="D15" s="4" t="inlineStr">
        <is>
          <t>Y1-Y5</t>
        </is>
      </c>
    </row>
    <row r="16">
      <c r="A16" s="16" t="inlineStr"/>
      <c r="B16" s="16" t="inlineStr">
        <is>
          <t>APC pricing</t>
        </is>
      </c>
      <c r="C16" s="16" t="inlineStr">
        <is>
          <t>SAR 3-4K/article</t>
        </is>
      </c>
      <c r="D16" s="16" t="inlineStr">
        <is>
          <t>Intl OA competitive</t>
        </is>
      </c>
    </row>
    <row r="17">
      <c r="A17" s="16" t="inlineStr"/>
      <c r="B17" s="16" t="inlineStr">
        <is>
          <t>University adoption</t>
        </is>
      </c>
      <c r="C17" s="16" t="inlineStr">
        <is>
          <t>1&gt;2&gt;5&gt;7&gt;10</t>
        </is>
      </c>
      <c r="D17" s="16" t="inlineStr">
        <is>
          <t>Y1-Y5</t>
        </is>
      </c>
    </row>
    <row r="18">
      <c r="A18" s="16" t="inlineStr"/>
      <c r="B18" s="16" t="inlineStr">
        <is>
          <t>AI licensing TAM</t>
        </is>
      </c>
      <c r="C18" s="16" t="inlineStr">
        <is>
          <t>SAR 100M+</t>
        </is>
      </c>
      <c r="D18" s="16" t="inlineStr">
        <is>
          <t>Wiley benchmark</t>
        </is>
      </c>
    </row>
    <row r="19">
      <c r="A19" s="16" t="inlineStr"/>
      <c r="B19" s="16" t="inlineStr">
        <is>
          <t>PubHelper projects</t>
        </is>
      </c>
      <c r="C19" s="16" t="inlineStr">
        <is>
          <t>40&gt;80&gt;150&gt;250&gt;350</t>
        </is>
      </c>
      <c r="D19" s="16" t="inlineStr">
        <is>
          <t>Y1-Y5</t>
        </is>
      </c>
    </row>
    <row r="20">
      <c r="A20" s="16" t="inlineStr"/>
      <c r="B20" s="16" t="inlineStr">
        <is>
          <t>Physician subscribers</t>
        </is>
      </c>
      <c r="C20" s="16" t="inlineStr">
        <is>
          <t>10&gt;50&gt;150&gt;300&gt;500</t>
        </is>
      </c>
      <c r="D20" s="16" t="inlineStr">
        <is>
          <t>Y1-Y5</t>
        </is>
      </c>
    </row>
    <row r="21">
      <c r="A21" s="16" t="inlineStr"/>
      <c r="B21" s="16" t="inlineStr"/>
      <c r="C21" s="16" t="inlineStr"/>
      <c r="D21" s="16" t="inlineStr"/>
    </row>
    <row r="22">
      <c r="A22" s="4" t="inlineStr">
        <is>
          <t>NAMA CRO</t>
        </is>
      </c>
      <c r="B22" s="4" t="inlineStr">
        <is>
          <t>Active trials</t>
        </is>
      </c>
      <c r="C22" s="4" t="inlineStr">
        <is>
          <t>5&gt;12&gt;20&gt;30&gt;40</t>
        </is>
      </c>
      <c r="D22" s="4" t="inlineStr">
        <is>
          <t>Y1-Y5</t>
        </is>
      </c>
    </row>
    <row r="23">
      <c r="A23" s="16" t="inlineStr"/>
      <c r="B23" s="16" t="inlineStr">
        <is>
          <t>Rev per trial</t>
        </is>
      </c>
      <c r="C23" s="16" t="inlineStr">
        <is>
          <t>SAR 750K-1.5M</t>
        </is>
      </c>
      <c r="D23" s="16" t="inlineStr">
        <is>
          <t>Phase-dependent</t>
        </is>
      </c>
    </row>
    <row r="24">
      <c r="A24" s="16" t="inlineStr"/>
      <c r="B24" s="16" t="inlineStr">
        <is>
          <t>Alfaisaliah pipeline</t>
        </is>
      </c>
      <c r="C24" s="16" t="inlineStr">
        <is>
          <t>Guaranteed</t>
        </is>
      </c>
      <c r="D24" s="16" t="inlineStr">
        <is>
          <t>Strategic investor</t>
        </is>
      </c>
    </row>
    <row r="25">
      <c r="A25" s="16" t="inlineStr"/>
      <c r="B25" s="16" t="inlineStr">
        <is>
          <t>Geographic scope</t>
        </is>
      </c>
      <c r="C25" s="16" t="inlineStr">
        <is>
          <t>KSA+Egypt+UAE+UK</t>
        </is>
      </c>
      <c r="D25" s="16" t="inlineStr">
        <is>
          <t>Milestone agreement</t>
        </is>
      </c>
    </row>
    <row r="26">
      <c r="A26" s="16" t="inlineStr"/>
      <c r="B26" s="16" t="inlineStr"/>
      <c r="C26" s="16" t="inlineStr"/>
      <c r="D26" s="16" t="inlineStr"/>
    </row>
    <row r="27">
      <c r="A27" s="4" t="inlineStr">
        <is>
          <t>NAMA ACADEMY</t>
        </is>
      </c>
      <c r="B27" s="4" t="inlineStr">
        <is>
          <t>Training pipeline</t>
        </is>
      </c>
      <c r="C27" s="4" t="inlineStr">
        <is>
          <t>500&gt;1.2K&gt;2.5K&gt;4K&gt;5.5K</t>
        </is>
      </c>
      <c r="D27" s="4" t="inlineStr">
        <is>
          <t>Y1-Y5</t>
        </is>
      </c>
    </row>
    <row r="28">
      <c r="A28" s="16" t="inlineStr"/>
      <c r="B28" s="16" t="inlineStr">
        <is>
          <t>AaaS contracts</t>
        </is>
      </c>
      <c r="C28" s="16" t="inlineStr">
        <is>
          <t>0&gt;1&gt;3&gt;6&gt;10</t>
        </is>
      </c>
      <c r="D28" s="16" t="inlineStr">
        <is>
          <t>Y1-Y5</t>
        </is>
      </c>
    </row>
    <row r="29">
      <c r="A29" s="16" t="inlineStr"/>
      <c r="B29" s="16" t="inlineStr">
        <is>
          <t>SHA course fee</t>
        </is>
      </c>
      <c r="C29" s="16" t="inlineStr">
        <is>
          <t>SAR 600-1,500</t>
        </is>
      </c>
      <c r="D29" s="16" t="inlineStr">
        <is>
          <t>SHA standard</t>
        </is>
      </c>
    </row>
    <row r="30">
      <c r="A30" s="16" t="inlineStr"/>
      <c r="B30" s="16" t="inlineStr">
        <is>
          <t>MGA bundle</t>
        </is>
      </c>
      <c r="C30" s="16" t="inlineStr">
        <is>
          <t>SAR 800-1,200/physician</t>
        </is>
      </c>
      <c r="D30" s="16" t="inlineStr">
        <is>
          <t>Cross-group product</t>
        </is>
      </c>
    </row>
    <row r="31">
      <c r="A31" s="16" t="inlineStr"/>
      <c r="B31" s="16" t="inlineStr"/>
      <c r="C31" s="16" t="inlineStr"/>
      <c r="D31" s="16" t="inlineStr"/>
    </row>
    <row r="32">
      <c r="A32" s="4" t="inlineStr">
        <is>
          <t>NAMA BIO</t>
        </is>
      </c>
      <c r="B32" s="4" t="inlineStr">
        <is>
          <t>Studies/year</t>
        </is>
      </c>
      <c r="C32" s="4" t="inlineStr">
        <is>
          <t>10&gt;15&gt;25&gt;30&gt;40</t>
        </is>
      </c>
      <c r="D32" s="4" t="inlineStr">
        <is>
          <t>Y1-Y5</t>
        </is>
      </c>
    </row>
    <row r="33">
      <c r="A33" s="16" t="inlineStr"/>
      <c r="B33" s="16" t="inlineStr">
        <is>
          <t>Price per study</t>
        </is>
      </c>
      <c r="C33" s="16" t="inlineStr">
        <is>
          <t>SAR 270-340K</t>
        </is>
      </c>
      <c r="D33" s="16" t="inlineStr">
        <is>
          <t>Market rate KSA</t>
        </is>
      </c>
    </row>
    <row r="34">
      <c r="A34" s="16" t="inlineStr"/>
      <c r="B34" s="16" t="inlineStr">
        <is>
          <t>CARE Medical ward</t>
        </is>
      </c>
      <c r="C34" s="16" t="inlineStr">
        <is>
          <t>40 beds</t>
        </is>
      </c>
      <c r="D34" s="16" t="inlineStr">
        <is>
          <t>Partnership</t>
        </is>
      </c>
    </row>
    <row r="35">
      <c r="A35" s="16" t="inlineStr"/>
      <c r="B35" s="16" t="inlineStr">
        <is>
          <t>KSU bioanalytics</t>
        </is>
      </c>
      <c r="C35" s="16" t="inlineStr">
        <is>
          <t>Outsourced</t>
        </is>
      </c>
      <c r="D35" s="16" t="inlineStr">
        <is>
          <t>MOU signed</t>
        </is>
      </c>
    </row>
    <row r="36">
      <c r="A36" s="16" t="inlineStr"/>
      <c r="B36" s="16" t="inlineStr"/>
      <c r="C36" s="16" t="inlineStr"/>
      <c r="D36" s="16" t="inlineStr"/>
    </row>
    <row r="37">
      <c r="A37" s="4" t="inlineStr">
        <is>
          <t>SAUDI EVIDENCE</t>
        </is>
      </c>
      <c r="B37" s="4" t="inlineStr">
        <is>
          <t>Users</t>
        </is>
      </c>
      <c r="C37" s="4" t="inlineStr">
        <is>
          <t>500&gt;2K&gt;10K&gt;30K&gt;75K</t>
        </is>
      </c>
      <c r="D37" s="4" t="inlineStr">
        <is>
          <t>Y1-Y5</t>
        </is>
      </c>
    </row>
    <row r="38">
      <c r="A38" s="16" t="inlineStr"/>
      <c r="B38" s="16" t="inlineStr">
        <is>
          <t>CHI partnership</t>
        </is>
      </c>
      <c r="C38" s="16" t="inlineStr">
        <is>
          <t>Target Q2-Q3 2026</t>
        </is>
      </c>
      <c r="D38" s="16" t="inlineStr">
        <is>
          <t>Gov contract</t>
        </is>
      </c>
    </row>
    <row r="39">
      <c r="A39" s="16" t="inlineStr"/>
      <c r="B39" s="16" t="inlineStr">
        <is>
          <t>DeepEvidence API</t>
        </is>
      </c>
      <c r="C39" s="16" t="inlineStr">
        <is>
          <t>Partnership</t>
        </is>
      </c>
      <c r="D39" s="16" t="inlineStr">
        <is>
          <t>Under negotiation</t>
        </is>
      </c>
    </row>
    <row r="40">
      <c r="A40" s="16" t="inlineStr"/>
      <c r="B40" s="16" t="inlineStr">
        <is>
          <t>Knowledge graph</t>
        </is>
      </c>
      <c r="C40" s="16" t="inlineStr">
        <is>
          <t>16K&gt;5M nodes</t>
        </is>
      </c>
      <c r="D40" s="16" t="inlineStr">
        <is>
          <t>Y1-Y5</t>
        </is>
      </c>
    </row>
    <row r="41">
      <c r="A41" s="16" t="inlineStr"/>
      <c r="B41" s="16" t="inlineStr"/>
      <c r="C41" s="16" t="inlineStr"/>
      <c r="D41" s="16" t="inlineStr"/>
    </row>
    <row r="42">
      <c r="A42" s="4" t="inlineStr">
        <is>
          <t>INTER-COMPANY</t>
        </is>
      </c>
      <c r="B42" s="4" t="inlineStr">
        <is>
          <t>Waraqa&gt;Academy</t>
        </is>
      </c>
      <c r="C42" s="4" t="inlineStr">
        <is>
          <t>SAR 400-500K/yr</t>
        </is>
      </c>
      <c r="D42" s="4" t="inlineStr">
        <is>
          <t>Internal allocation</t>
        </is>
      </c>
    </row>
    <row r="43">
      <c r="A43" s="16" t="inlineStr"/>
      <c r="B43" s="16" t="inlineStr">
        <is>
          <t>CRO&gt;Waraqa writing</t>
        </is>
      </c>
      <c r="C43" s="16" t="inlineStr">
        <is>
          <t>SAR 300-900K/yr</t>
        </is>
      </c>
      <c r="D43" s="16" t="inlineStr">
        <is>
          <t>SLA</t>
        </is>
      </c>
    </row>
    <row r="44">
      <c r="A44" s="16" t="inlineStr"/>
      <c r="B44" s="16" t="inlineStr">
        <is>
          <t>Elimination rate</t>
        </is>
      </c>
      <c r="C44" s="16" t="inlineStr">
        <is>
          <t>~5-8% of gross</t>
        </is>
      </c>
      <c r="D44" s="16" t="inlineStr">
        <is>
          <t>Conservative</t>
        </is>
      </c>
    </row>
    <row r="45">
      <c r="A45" s="16" t="inlineStr"/>
      <c r="B45" s="16" t="inlineStr"/>
      <c r="C45" s="16" t="inlineStr"/>
      <c r="D45" s="16" t="inlineStr"/>
    </row>
    <row r="46">
      <c r="A46" s="4" t="inlineStr">
        <is>
          <t>CAPITAL</t>
        </is>
      </c>
      <c r="B46" s="4" t="inlineStr">
        <is>
          <t>CRO external equity</t>
        </is>
      </c>
      <c r="C46" s="4" t="inlineStr">
        <is>
          <t>SAR 18.75M</t>
        </is>
      </c>
      <c r="D46" s="4" t="inlineStr">
        <is>
          <t>Alfaisaliah 25-35%</t>
        </is>
      </c>
    </row>
    <row r="47">
      <c r="A47" s="16" t="inlineStr"/>
      <c r="B47" s="16" t="inlineStr">
        <is>
          <t>Bio govt grant</t>
        </is>
      </c>
      <c r="C47" s="16" t="inlineStr">
        <is>
          <t>SAR 2M</t>
        </is>
      </c>
      <c r="D47" s="16" t="inlineStr">
        <is>
          <t>Non-dilutive</t>
        </is>
      </c>
    </row>
    <row r="48">
      <c r="A48" s="16" t="inlineStr"/>
      <c r="B48" s="16" t="inlineStr">
        <is>
          <t>Evidence grants</t>
        </is>
      </c>
      <c r="C48" s="16" t="inlineStr">
        <is>
          <t>SAR 10M</t>
        </is>
      </c>
      <c r="D48" s="16" t="inlineStr">
        <is>
          <t>SDAIA/RDIA target</t>
        </is>
      </c>
    </row>
    <row r="49">
      <c r="A49" s="16" t="inlineStr"/>
      <c r="B49" s="16" t="inlineStr">
        <is>
          <t>All others</t>
        </is>
      </c>
      <c r="C49" s="16" t="inlineStr">
        <is>
          <t>Self-funded</t>
        </is>
      </c>
      <c r="D49" s="16" t="inlineStr">
        <is>
          <t>Waraqa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2026-03-19T23:34:23Z</dcterms:created>
  <dcterms:modified xmlns:dcterms="http://purl.org/dc/terms/" xmlns:xsi="http://www.w3.org/2001/XMLSchema-instance" xsi:type="dcterms:W3CDTF">2026-03-19T23:34:23Z</dcterms:modified>
</cp:coreProperties>
</file>