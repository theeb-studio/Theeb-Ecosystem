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venue Model" sheetId="2" state="visible" r:id="rId4"/>
    <sheet name="Cost Structure" sheetId="3" state="visible" r:id="rId5"/>
    <sheet name="EBITDA &amp; Cash Flow" sheetId="4" state="visible" r:id="rId6"/>
    <sheet name="Capital Requirements" sheetId="5" state="visible" r:id="rId7"/>
    <sheet name="Valuation Scenario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<sst xmlns="http://schemas.openxmlformats.org/spreadsheetml/2006/main" count="156" uniqueCount="122">
  <si>
    <t xml:space="preserve">NAMA KNOWLEDGE - 10-YEAR FINANCIAL MODEL</t>
  </si>
  <si>
    <t xml:space="preserve">Saudi Clinical Intelligence Group (Theeb Group)</t>
  </si>
  <si>
    <t xml:space="preserve">KEY METRICS SUMMARY</t>
  </si>
  <si>
    <t xml:space="preserve">Metric</t>
  </si>
  <si>
    <t xml:space="preserve">Value</t>
  </si>
  <si>
    <t xml:space="preserve">Total Investment Required</t>
  </si>
  <si>
    <t xml:space="preserve">$1,000,000</t>
  </si>
  <si>
    <t xml:space="preserve">Year 1 Revenue</t>
  </si>
  <si>
    <t xml:space="preserve">$1,500,000</t>
  </si>
  <si>
    <t xml:space="preserve">Year 5 Revenue</t>
  </si>
  <si>
    <t xml:space="preserve">$28,000,000</t>
  </si>
  <si>
    <t xml:space="preserve">Year 10 Revenue</t>
  </si>
  <si>
    <t xml:space="preserve">$69,100,000</t>
  </si>
  <si>
    <t xml:space="preserve">Year 1 EBITDA</t>
  </si>
  <si>
    <t xml:space="preserve">$180,000</t>
  </si>
  <si>
    <t xml:space="preserve">Year 5 EBITDA</t>
  </si>
  <si>
    <t xml:space="preserve">$12,880,000</t>
  </si>
  <si>
    <t xml:space="preserve">Year 10 EBITDA</t>
  </si>
  <si>
    <t xml:space="preserve">$33,168,000</t>
  </si>
  <si>
    <t xml:space="preserve">Year 1 EBITDA Margin</t>
  </si>
  <si>
    <t xml:space="preserve">12.0%</t>
  </si>
  <si>
    <t xml:space="preserve">Year 5 EBITDA Margin</t>
  </si>
  <si>
    <t xml:space="preserve">46.0%</t>
  </si>
  <si>
    <t xml:space="preserve">Year 10 EBITDA Margin</t>
  </si>
  <si>
    <t xml:space="preserve">48.0%</t>
  </si>
  <si>
    <t xml:space="preserve">Gross Margin</t>
  </si>
  <si>
    <t xml:space="preserve">72.0%</t>
  </si>
  <si>
    <t xml:space="preserve">Year 5 Headcount</t>
  </si>
  <si>
    <t xml:space="preserve">60</t>
  </si>
  <si>
    <t xml:space="preserve">Year 10 Headcount</t>
  </si>
  <si>
    <t xml:space="preserve">115</t>
  </si>
  <si>
    <t xml:space="preserve">Y5 MOIC (Conservative)</t>
  </si>
  <si>
    <t xml:space="preserve">103.0x</t>
  </si>
  <si>
    <t xml:space="preserve">Y5 MOIC (Base)</t>
  </si>
  <si>
    <t xml:space="preserve">115.9x</t>
  </si>
  <si>
    <t xml:space="preserve">Y5 MOIC (Optimistic)</t>
  </si>
  <si>
    <t xml:space="preserve">128.8x</t>
  </si>
  <si>
    <t xml:space="preserve">REVENUE MODEL - 10 YEAR PROJECTIONS (2027-2036)</t>
  </si>
  <si>
    <t xml:space="preserve">Total Revenue ($000s)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</si>
  <si>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</si>
  <si>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</si>
  <si>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</si>
  <si>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</si>
  <si>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</si>
  <si>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</si>
  <si>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</si>
  <si>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</si>
  <si>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</si>
  <si>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</si>
  <si>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LMS (30%)</t>
  </si>
  <si>
    <t xml:space="preserve">CME (15%)</t>
  </si>
  <si>
    <t xml:space="preserve">Simulation (20%)</t>
  </si>
  <si>
    <t xml:space="preserve">Pharma-Sponsored (20%)</t>
  </si>
  <si>
    <t xml:space="preserve">Conference (10%)</t>
  </si>
  <si>
    <t xml:space="preserve">Certification (5%)</t>
  </si>
  <si>
    <t xml:space="preserve">TOTAL REVENUE</t>
  </si>
  <si>
    <t xml:space="preserve">Headcount</t>
  </si>
  <si>
    <t xml:space="preserve">Revenue per Employee</t>
  </si>
  <si>
    <t xml:space="preserve">COST STRUCTURE ANALYSIS</t>
  </si>
  <si>
    <t xml:space="preserve">Income Statement ($000s)</t>
  </si>
  <si>
    <t xml:space="preserve">Revenue</t>
  </si>
  <si>
    <t xml:space="preserve">COGS (28%)</t>
  </si>
  <si>
    <t xml:space="preserve">Gross Profit</t>
  </si>
  <si>
    <t xml:space="preserve">Gross Margin %</t>
  </si>
  <si>
    <t xml:space="preserve">OpEx Components</t>
  </si>
  <si>
    <t xml:space="preserve">Content Development</t>
  </si>
  <si>
    <t xml:space="preserve">Technology</t>
  </si>
  <si>
    <t xml:space="preserve">Operations</t>
  </si>
  <si>
    <t xml:space="preserve">Sales &amp; Marketing</t>
  </si>
  <si>
    <t xml:space="preserve">G&amp;A</t>
  </si>
  <si>
    <t xml:space="preserve">Total OpEx</t>
  </si>
  <si>
    <t xml:space="preserve">EBITDA &amp; CASH FLOW ANALYSIS</t>
  </si>
  <si>
    <t xml:space="preserve">COGS</t>
  </si>
  <si>
    <t xml:space="preserve">Operating Expenses</t>
  </si>
  <si>
    <t xml:space="preserve">EBITDA</t>
  </si>
  <si>
    <t xml:space="preserve">EBITDA Margin %</t>
  </si>
  <si>
    <t xml:space="preserve">CAPITAL REQUIREMENTS &amp; INVESTMENT</t>
  </si>
  <si>
    <t xml:space="preserve">Investment Schedule</t>
  </si>
  <si>
    <t xml:space="preserve">Phase</t>
  </si>
  <si>
    <t xml:space="preserve">Amount ($)</t>
  </si>
  <si>
    <t xml:space="preserve">Timing</t>
  </si>
  <si>
    <t xml:space="preserve">Seed Development</t>
  </si>
  <si>
    <t xml:space="preserve">Year 1</t>
  </si>
  <si>
    <t xml:space="preserve">Platform Growth</t>
  </si>
  <si>
    <t xml:space="preserve">Year 2</t>
  </si>
  <si>
    <t xml:space="preserve">TOTAL INVESTMENT</t>
  </si>
  <si>
    <t xml:space="preserve">VALUATION &amp; EXIT ANALYSIS</t>
  </si>
  <si>
    <t xml:space="preserve">YEAR 5 EXIT VALUATION</t>
  </si>
  <si>
    <t xml:space="preserve">Conservative</t>
  </si>
  <si>
    <t xml:space="preserve">Base Case</t>
  </si>
  <si>
    <t xml:space="preserve">Optimistic</t>
  </si>
  <si>
    <t xml:space="preserve">Year 5 EBITDA ($000s)</t>
  </si>
  <si>
    <t xml:space="preserve">EBITDA Multiple</t>
  </si>
  <si>
    <t xml:space="preserve">Enterprise Value ($000s)</t>
  </si>
  <si>
    <t xml:space="preserve">RETURN ANALYSIS</t>
  </si>
  <si>
    <t xml:space="preserve">Initial Investment ($000s)</t>
  </si>
  <si>
    <t xml:space="preserve">Exit Value ($000s)</t>
  </si>
  <si>
    <t xml:space="preserve">MOIC</t>
  </si>
  <si>
    <t xml:space="preserve">MODEL ASSUMPTIONS</t>
  </si>
  <si>
    <t xml:space="preserve">Revenue Streams</t>
  </si>
  <si>
    <t xml:space="preserve">Institutional LMS</t>
  </si>
  <si>
    <t xml:space="preserve">30%</t>
  </si>
  <si>
    <t xml:space="preserve">CME Subscriptions</t>
  </si>
  <si>
    <t xml:space="preserve">15%</t>
  </si>
  <si>
    <t xml:space="preserve">Simulation Programs</t>
  </si>
  <si>
    <t xml:space="preserve">20%</t>
  </si>
  <si>
    <t xml:space="preserve">Pharma-Sponsored</t>
  </si>
  <si>
    <t xml:space="preserve">Conference Programs</t>
  </si>
  <si>
    <t xml:space="preserve">10%</t>
  </si>
  <si>
    <t xml:space="preserve">Certification</t>
  </si>
  <si>
    <t xml:space="preserve">5%</t>
  </si>
  <si>
    <t xml:space="preserve">Cost Structure</t>
  </si>
  <si>
    <t xml:space="preserve">COGS %</t>
  </si>
  <si>
    <t xml:space="preserve">28%</t>
  </si>
  <si>
    <t xml:space="preserve">72%</t>
  </si>
  <si>
    <t xml:space="preserve">Key Metrics</t>
  </si>
  <si>
    <t xml:space="preserve">Total Capital Required</t>
  </si>
  <si>
    <t xml:space="preserve">Y1 Revenue</t>
  </si>
  <si>
    <t xml:space="preserve">Y5 Revenue</t>
  </si>
  <si>
    <t xml:space="preserve">Y5 EBITDA Margin</t>
  </si>
  <si>
    <t xml:space="preserve">46%</t>
  </si>
  <si>
    <t xml:space="preserve">Y5 Headcount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</si>
</sst>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%"/>
    <numFmt numFmtId="168" formatCode="\$#,##0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rgb="FF0070C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C7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0" t="s">
        <v>5</v>
      </c>
      <c r="B6" s="5" t="s">
        <v>6</v>
      </c>
    </row>
    <row r="7" customFormat="false" ht="15" hidden="false" customHeight="false" outlineLevel="0" collapsed="false">
      <c r="A7" s="0" t="s">
        <v>7</v>
      </c>
      <c r="B7" s="5" t="s">
        <v>8</v>
      </c>
    </row>
    <row r="8" customFormat="false" ht="15" hidden="false" customHeight="false" outlineLevel="0" collapsed="false">
      <c r="A8" s="0" t="s">
        <v>9</v>
      </c>
      <c r="B8" s="5" t="s">
        <v>10</v>
      </c>
    </row>
    <row r="9" customFormat="false" ht="15" hidden="false" customHeight="false" outlineLevel="0" collapsed="false">
      <c r="A9" s="0" t="s">
        <v>11</v>
      </c>
      <c r="B9" s="5" t="s">
        <v>12</v>
      </c>
    </row>
    <row r="10" customFormat="false" ht="15" hidden="false" customHeight="false" outlineLevel="0" collapsed="false">
      <c r="A10" s="0" t="s">
        <v>13</v>
      </c>
      <c r="B10" s="5" t="s">
        <v>14</v>
      </c>
    </row>
    <row r="11" customFormat="false" ht="15" hidden="false" customHeight="false" outlineLevel="0" collapsed="false">
      <c r="A11" s="0" t="s">
        <v>15</v>
      </c>
      <c r="B11" s="5" t="s">
        <v>16</v>
      </c>
    </row>
    <row r="12" customFormat="false" ht="15" hidden="false" customHeight="false" outlineLevel="0" collapsed="false">
      <c r="A12" s="0" t="s">
        <v>17</v>
      </c>
      <c r="B12" s="5" t="s">
        <v>18</v>
      </c>
    </row>
    <row r="13" customFormat="false" ht="15" hidden="false" customHeight="false" outlineLevel="0" collapsed="false">
      <c r="A13" s="0" t="s">
        <v>19</v>
      </c>
      <c r="B13" s="5" t="s">
        <v>20</v>
      </c>
    </row>
    <row r="14" customFormat="false" ht="15" hidden="false" customHeight="false" outlineLevel="0" collapsed="false">
      <c r="A14" s="0" t="s">
        <v>21</v>
      </c>
      <c r="B14" s="5" t="s">
        <v>22</v>
      </c>
    </row>
    <row r="15" customFormat="false" ht="15" hidden="false" customHeight="false" outlineLevel="0" collapsed="false">
      <c r="A15" s="0" t="s">
        <v>23</v>
      </c>
      <c r="B15" s="5" t="s">
        <v>24</v>
      </c>
    </row>
    <row r="16" customFormat="false" ht="15" hidden="false" customHeight="false" outlineLevel="0" collapsed="false">
      <c r="A16" s="0" t="s">
        <v>25</v>
      </c>
      <c r="B16" s="5" t="s">
        <v>26</v>
      </c>
    </row>
    <row r="17" customFormat="false" ht="15" hidden="false" customHeight="false" outlineLevel="0" collapsed="false">
      <c r="A17" s="0" t="s">
        <v>27</v>
      </c>
      <c r="B17" s="5" t="s">
        <v>28</v>
      </c>
    </row>
    <row r="18" customFormat="false" ht="15" hidden="false" customHeight="false" outlineLevel="0" collapsed="false">
      <c r="A18" s="0" t="s">
        <v>29</v>
      </c>
      <c r="B18" s="5" t="s">
        <v>30</v>
      </c>
    </row>
    <row r="19" customFormat="false" ht="15" hidden="false" customHeight="false" outlineLevel="0" collapsed="false">
      <c r="A19" s="0" t="s">
        <v>31</v>
      </c>
      <c r="B19" s="5" t="s">
        <v>32</v>
      </c>
    </row>
    <row r="20" customFormat="false" ht="15" hidden="false" customHeight="false" outlineLevel="0" collapsed="false">
      <c r="A20" s="0" t="s">
        <v>33</v>
      </c>
      <c r="B20" s="5" t="s">
        <v>34</v>
      </c>
    </row>
    <row r="21" customFormat="false" ht="15" hidden="false" customHeight="false" outlineLevel="0" collapsed="false">
      <c r="A21" s="0" t="s">
        <v>35</v>
      </c>
      <c r="B21" s="5" t="s">
        <v>36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6" t="s">
        <v>37</v>
      </c>
    </row>
    <row r="3" customFormat="false" ht="15" hidden="false" customHeight="false" outlineLevel="0" collapsed="false">
      <c r="A3" s="7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46</v>
      </c>
      <c r="J3" s="8" t="s">
        <v>47</v>
      </c>
      <c r="K3" s="8" t="s">
        <v>48</v>
      </c>
    </row>
    <row r="4" customFormat="false" ht="15" hidden="false" customHeight="false" outlineLevel="0" collapsed="false">
      <c r="A4" s="9" t="s">
        <v>49</v>
      </c>
      <c r="B4" s="10" t="n">
        <v>450</v>
      </c>
      <c r="C4" s="10" t="n">
        <v>900</v>
      </c>
      <c r="D4" s="10" t="n">
        <v>1350</v>
      </c>
      <c r="E4" s="10" t="n">
        <v>1800</v>
      </c>
      <c r="F4" s="10" t="n">
        <v>2250</v>
      </c>
      <c r="G4" s="10" t="n">
        <v>2700</v>
      </c>
      <c r="H4" s="10" t="n">
        <v>3150</v>
      </c>
      <c r="I4" s="10" t="n">
        <v>3600</v>
      </c>
      <c r="J4" s="10" t="n">
        <v>4050</v>
      </c>
      <c r="K4" s="10" t="n">
        <v>4500</v>
      </c>
    </row>
    <row r="5" customFormat="false" ht="15" hidden="false" customHeight="false" outlineLevel="0" collapsed="false">
      <c r="A5" s="9" t="s">
        <v>50</v>
      </c>
      <c r="B5" s="10" t="n">
        <v>225</v>
      </c>
      <c r="C5" s="10" t="n">
        <v>450</v>
      </c>
      <c r="D5" s="10" t="n">
        <v>675</v>
      </c>
      <c r="E5" s="10" t="n">
        <v>900</v>
      </c>
      <c r="F5" s="10" t="n">
        <v>1125</v>
      </c>
      <c r="G5" s="10" t="n">
        <v>1350</v>
      </c>
      <c r="H5" s="10" t="n">
        <v>1575</v>
      </c>
      <c r="I5" s="10" t="n">
        <v>1800</v>
      </c>
      <c r="J5" s="10" t="n">
        <v>2025</v>
      </c>
      <c r="K5" s="10" t="n">
        <v>2250</v>
      </c>
    </row>
    <row r="6" customFormat="false" ht="15" hidden="false" customHeight="false" outlineLevel="0" collapsed="false">
      <c r="A6" s="9" t="s">
        <v>51</v>
      </c>
      <c r="B6" s="10" t="n">
        <v>300</v>
      </c>
      <c r="C6" s="10" t="n">
        <v>600</v>
      </c>
      <c r="D6" s="10" t="n">
        <v>900</v>
      </c>
      <c r="E6" s="10" t="n">
        <v>1200</v>
      </c>
      <c r="F6" s="10" t="n">
        <v>1500</v>
      </c>
      <c r="G6" s="10" t="n">
        <v>1800</v>
      </c>
      <c r="H6" s="10" t="n">
        <v>2100</v>
      </c>
      <c r="I6" s="10" t="n">
        <v>2400</v>
      </c>
      <c r="J6" s="10" t="n">
        <v>2700</v>
      </c>
      <c r="K6" s="10" t="n">
        <v>3000</v>
      </c>
    </row>
    <row r="7" customFormat="false" ht="15" hidden="false" customHeight="false" outlineLevel="0" collapsed="false">
      <c r="A7" s="9" t="s">
        <v>52</v>
      </c>
      <c r="B7" s="10" t="n">
        <v>300</v>
      </c>
      <c r="C7" s="10" t="n">
        <v>600</v>
      </c>
      <c r="D7" s="10" t="n">
        <v>900</v>
      </c>
      <c r="E7" s="10" t="n">
        <v>1200</v>
      </c>
      <c r="F7" s="10" t="n">
        <v>1500</v>
      </c>
      <c r="G7" s="10" t="n">
        <v>1800</v>
      </c>
      <c r="H7" s="10" t="n">
        <v>2100</v>
      </c>
      <c r="I7" s="10" t="n">
        <v>2400</v>
      </c>
      <c r="J7" s="10" t="n">
        <v>2700</v>
      </c>
      <c r="K7" s="10" t="n">
        <v>3000</v>
      </c>
    </row>
    <row r="8" customFormat="false" ht="15" hidden="false" customHeight="false" outlineLevel="0" collapsed="false">
      <c r="A8" s="9" t="s">
        <v>53</v>
      </c>
      <c r="B8" s="10" t="n">
        <v>150</v>
      </c>
      <c r="C8" s="10" t="n">
        <v>300</v>
      </c>
      <c r="D8" s="10" t="n">
        <v>450</v>
      </c>
      <c r="E8" s="10" t="n">
        <v>600</v>
      </c>
      <c r="F8" s="10" t="n">
        <v>750</v>
      </c>
      <c r="G8" s="10" t="n">
        <v>900</v>
      </c>
      <c r="H8" s="10" t="n">
        <v>1050</v>
      </c>
      <c r="I8" s="10" t="n">
        <v>1200</v>
      </c>
      <c r="J8" s="10" t="n">
        <v>1350</v>
      </c>
      <c r="K8" s="10" t="n">
        <v>1500</v>
      </c>
    </row>
    <row r="9" customFormat="false" ht="15" hidden="false" customHeight="false" outlineLevel="0" collapsed="false">
      <c r="A9" s="9" t="s">
        <v>54</v>
      </c>
      <c r="B9" s="10" t="n">
        <v>75</v>
      </c>
      <c r="C9" s="10" t="n">
        <v>150</v>
      </c>
      <c r="D9" s="10" t="n">
        <v>225</v>
      </c>
      <c r="E9" s="10" t="n">
        <v>300</v>
      </c>
      <c r="F9" s="10" t="n">
        <v>375</v>
      </c>
      <c r="G9" s="10" t="n">
        <v>450</v>
      </c>
      <c r="H9" s="10" t="n">
        <v>525</v>
      </c>
      <c r="I9" s="10" t="n">
        <v>600</v>
      </c>
      <c r="J9" s="10" t="n">
        <v>675</v>
      </c>
      <c r="K9" s="10" t="n">
        <v>750</v>
      </c>
    </row>
    <row r="10" customFormat="false" ht="15" hidden="false" customHeight="false" outlineLevel="0" collapsed="false">
      <c r="A10" s="11" t="s">
        <v>55</v>
      </c>
      <c r="B10" s="12" t="n">
        <f aca="false">SUM(B4:B9)</f>
        <v>1500</v>
      </c>
      <c r="C10" s="12" t="n">
        <f aca="false">SUM(C4:C9)</f>
        <v>3000</v>
      </c>
      <c r="D10" s="12" t="n">
        <f aca="false">SUM(D4:D9)</f>
        <v>4500</v>
      </c>
      <c r="E10" s="12" t="n">
        <f aca="false">SUM(E4:E9)</f>
        <v>6000</v>
      </c>
      <c r="F10" s="12" t="n">
        <f aca="false">SUM(F4:F9)</f>
        <v>7500</v>
      </c>
      <c r="G10" s="12" t="n">
        <f aca="false">SUM(G4:G9)</f>
        <v>9000</v>
      </c>
      <c r="H10" s="12" t="n">
        <f aca="false">SUM(H4:H9)</f>
        <v>10500</v>
      </c>
      <c r="I10" s="12" t="n">
        <f aca="false">SUM(I4:I9)</f>
        <v>12000</v>
      </c>
      <c r="J10" s="12" t="n">
        <f aca="false">SUM(J4:J9)</f>
        <v>13500</v>
      </c>
      <c r="K10" s="12" t="n">
        <f aca="false">SUM(K4:K9)</f>
        <v>15000</v>
      </c>
    </row>
    <row r="12" customFormat="false" ht="15" hidden="false" customHeight="false" outlineLevel="0" collapsed="false">
      <c r="A12" s="13" t="s">
        <v>56</v>
      </c>
      <c r="B12" s="14" t="n">
        <v>10</v>
      </c>
      <c r="C12" s="14" t="n">
        <v>20</v>
      </c>
      <c r="D12" s="14" t="n">
        <v>35</v>
      </c>
      <c r="E12" s="14" t="n">
        <v>50</v>
      </c>
      <c r="F12" s="14" t="n">
        <v>60</v>
      </c>
      <c r="G12" s="14" t="n">
        <v>72</v>
      </c>
      <c r="H12" s="14" t="n">
        <v>85</v>
      </c>
      <c r="I12" s="14" t="n">
        <v>95</v>
      </c>
      <c r="J12" s="14" t="n">
        <v>105</v>
      </c>
      <c r="K12" s="14" t="n">
        <v>115</v>
      </c>
    </row>
    <row r="13" customFormat="false" ht="15" hidden="false" customHeight="false" outlineLevel="0" collapsed="false">
      <c r="A13" s="0" t="s">
        <v>57</v>
      </c>
      <c r="B13" s="10" t="n">
        <f aca="false">B10/B12</f>
        <v>150</v>
      </c>
      <c r="C13" s="10" t="n">
        <f aca="false">C10/C12</f>
        <v>150</v>
      </c>
      <c r="D13" s="10" t="n">
        <f aca="false">D10/D12</f>
        <v>128.571428571429</v>
      </c>
      <c r="E13" s="10" t="n">
        <f aca="false">E10/E12</f>
        <v>120</v>
      </c>
      <c r="F13" s="10" t="n">
        <f aca="false">F10/F12</f>
        <v>125</v>
      </c>
      <c r="G13" s="10" t="n">
        <f aca="false">G10/G12</f>
        <v>125</v>
      </c>
      <c r="H13" s="10" t="n">
        <f aca="false">H10/H12</f>
        <v>123.529411764706</v>
      </c>
      <c r="I13" s="10" t="n">
        <f aca="false">I10/I12</f>
        <v>126.315789473684</v>
      </c>
      <c r="J13" s="10" t="n">
        <f aca="false">J10/J12</f>
        <v>128.571428571429</v>
      </c>
      <c r="K13" s="10" t="n">
        <f aca="false">K10/K12</f>
        <v>130.434782608696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6" t="s">
        <v>58</v>
      </c>
    </row>
    <row r="3" customFormat="false" ht="15" hidden="false" customHeight="false" outlineLevel="0" collapsed="false">
      <c r="A3" s="7" t="s">
        <v>59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</row>
    <row r="4" customFormat="false" ht="15" hidden="false" customHeight="false" outlineLevel="0" collapsed="false">
      <c r="A4" s="0" t="s">
        <v>60</v>
      </c>
      <c r="B4" s="16" t="n">
        <f aca="false">'Revenue Model'!B10</f>
        <v>1500</v>
      </c>
      <c r="C4" s="16" t="n">
        <f aca="false">'Revenue Model'!C10</f>
        <v>3000</v>
      </c>
      <c r="D4" s="16" t="n">
        <f aca="false">'Revenue Model'!D10</f>
        <v>4500</v>
      </c>
      <c r="E4" s="16" t="n">
        <f aca="false">'Revenue Model'!E10</f>
        <v>6000</v>
      </c>
      <c r="F4" s="16" t="n">
        <f aca="false">'Revenue Model'!F10</f>
        <v>7500</v>
      </c>
      <c r="G4" s="16" t="n">
        <f aca="false">'Revenue Model'!G10</f>
        <v>9000</v>
      </c>
      <c r="H4" s="16" t="n">
        <f aca="false">'Revenue Model'!H10</f>
        <v>10500</v>
      </c>
      <c r="I4" s="16" t="n">
        <f aca="false">'Revenue Model'!I10</f>
        <v>12000</v>
      </c>
      <c r="J4" s="16" t="n">
        <f aca="false">'Revenue Model'!J10</f>
        <v>13500</v>
      </c>
      <c r="K4" s="16" t="n">
        <f aca="false">'Revenue Model'!K10</f>
        <v>15000</v>
      </c>
    </row>
    <row r="5" customFormat="false" ht="15" hidden="false" customHeight="false" outlineLevel="0" collapsed="false">
      <c r="A5" s="0" t="s">
        <v>61</v>
      </c>
      <c r="B5" s="10" t="n">
        <f aca="false">B4*0.28</f>
        <v>420</v>
      </c>
      <c r="C5" s="10" t="n">
        <f aca="false">C4*0.28</f>
        <v>840</v>
      </c>
      <c r="D5" s="10" t="n">
        <f aca="false">D4*0.28</f>
        <v>1260</v>
      </c>
      <c r="E5" s="10" t="n">
        <f aca="false">E4*0.28</f>
        <v>1680</v>
      </c>
      <c r="F5" s="10" t="n">
        <f aca="false">F4*0.28</f>
        <v>2100</v>
      </c>
      <c r="G5" s="10" t="n">
        <f aca="false">G4*0.28</f>
        <v>2520</v>
      </c>
      <c r="H5" s="10" t="n">
        <f aca="false">H4*0.28</f>
        <v>2940</v>
      </c>
      <c r="I5" s="10" t="n">
        <f aca="false">I4*0.28</f>
        <v>3360</v>
      </c>
      <c r="J5" s="10" t="n">
        <f aca="false">J4*0.28</f>
        <v>3780</v>
      </c>
      <c r="K5" s="10" t="n">
        <f aca="false">K4*0.28</f>
        <v>4200</v>
      </c>
    </row>
    <row r="6" customFormat="false" ht="15" hidden="false" customHeight="false" outlineLevel="0" collapsed="false">
      <c r="A6" s="0" t="s">
        <v>62</v>
      </c>
      <c r="B6" s="10" t="n">
        <f aca="false">B4-B5</f>
        <v>1080</v>
      </c>
      <c r="C6" s="10" t="n">
        <f aca="false">C4-C5</f>
        <v>2160</v>
      </c>
      <c r="D6" s="10" t="n">
        <f aca="false">D4-D5</f>
        <v>3240</v>
      </c>
      <c r="E6" s="10" t="n">
        <f aca="false">E4-E5</f>
        <v>4320</v>
      </c>
      <c r="F6" s="10" t="n">
        <f aca="false">F4-F5</f>
        <v>5400</v>
      </c>
      <c r="G6" s="10" t="n">
        <f aca="false">G4-G5</f>
        <v>6480</v>
      </c>
      <c r="H6" s="10" t="n">
        <f aca="false">H4-H5</f>
        <v>7560</v>
      </c>
      <c r="I6" s="10" t="n">
        <f aca="false">I4-I5</f>
        <v>8640</v>
      </c>
      <c r="J6" s="10" t="n">
        <f aca="false">J4-J5</f>
        <v>9720</v>
      </c>
      <c r="K6" s="10" t="n">
        <f aca="false">K4-K5</f>
        <v>10800</v>
      </c>
    </row>
    <row r="7" customFormat="false" ht="15" hidden="false" customHeight="false" outlineLevel="0" collapsed="false">
      <c r="A7" s="0" t="s">
        <v>63</v>
      </c>
      <c r="B7" s="17" t="n">
        <f aca="false">B6/B4</f>
        <v>0.72</v>
      </c>
      <c r="C7" s="17" t="n">
        <f aca="false">C6/C4</f>
        <v>0.72</v>
      </c>
      <c r="D7" s="17" t="n">
        <f aca="false">D6/D4</f>
        <v>0.72</v>
      </c>
      <c r="E7" s="17" t="n">
        <f aca="false">E6/E4</f>
        <v>0.72</v>
      </c>
      <c r="F7" s="17" t="n">
        <f aca="false">F6/F4</f>
        <v>0.72</v>
      </c>
      <c r="G7" s="17" t="n">
        <f aca="false">G6/G4</f>
        <v>0.72</v>
      </c>
      <c r="H7" s="17" t="n">
        <f aca="false">H6/H4</f>
        <v>0.72</v>
      </c>
      <c r="I7" s="17" t="n">
        <f aca="false">I6/I4</f>
        <v>0.72</v>
      </c>
      <c r="J7" s="17" t="n">
        <f aca="false">J6/J4</f>
        <v>0.72</v>
      </c>
      <c r="K7" s="17" t="n">
        <f aca="false">K6/K4</f>
        <v>0.72</v>
      </c>
    </row>
    <row r="9" customFormat="false" ht="15" hidden="false" customHeight="false" outlineLevel="0" collapsed="false">
      <c r="A9" s="7" t="s">
        <v>64</v>
      </c>
    </row>
    <row r="10" customFormat="false" ht="15" hidden="false" customHeight="false" outlineLevel="0" collapsed="false">
      <c r="A10" s="9" t="s">
        <v>65</v>
      </c>
      <c r="B10" s="10" t="n">
        <f aca="false">B4*0.18</f>
        <v>270</v>
      </c>
      <c r="C10" s="10" t="n">
        <f aca="false">C4*0.16</f>
        <v>480</v>
      </c>
      <c r="D10" s="10" t="n">
        <f aca="false">D4*0.14</f>
        <v>630</v>
      </c>
      <c r="E10" s="10" t="n">
        <f aca="false">E4*0.12</f>
        <v>720</v>
      </c>
      <c r="F10" s="10" t="n">
        <f aca="false">F4*0.1</f>
        <v>750</v>
      </c>
      <c r="G10" s="10" t="n">
        <f aca="false">G4*0.09</f>
        <v>810</v>
      </c>
      <c r="H10" s="10" t="n">
        <f aca="false">H4*0.08</f>
        <v>840</v>
      </c>
      <c r="I10" s="10" t="n">
        <f aca="false">I4*0.08</f>
        <v>960</v>
      </c>
      <c r="J10" s="10" t="n">
        <f aca="false">J4*0.08</f>
        <v>1080</v>
      </c>
      <c r="K10" s="10" t="n">
        <f aca="false">K4*0.08</f>
        <v>1200</v>
      </c>
    </row>
    <row r="11" customFormat="false" ht="15" hidden="false" customHeight="false" outlineLevel="0" collapsed="false">
      <c r="A11" s="9" t="s">
        <v>66</v>
      </c>
      <c r="B11" s="10" t="n">
        <f aca="false">B4*0.15</f>
        <v>225</v>
      </c>
      <c r="C11" s="10" t="n">
        <f aca="false">C4*0.14</f>
        <v>420</v>
      </c>
      <c r="D11" s="10" t="n">
        <f aca="false">D4*0.13</f>
        <v>585</v>
      </c>
      <c r="E11" s="10" t="n">
        <f aca="false">E4*0.12</f>
        <v>720</v>
      </c>
      <c r="F11" s="10" t="n">
        <f aca="false">F4*0.1</f>
        <v>750</v>
      </c>
      <c r="G11" s="10" t="n">
        <f aca="false">G4*0.09</f>
        <v>810</v>
      </c>
      <c r="H11" s="10" t="n">
        <f aca="false">H4*0.08</f>
        <v>840</v>
      </c>
      <c r="I11" s="10" t="n">
        <f aca="false">I4*0.08</f>
        <v>960</v>
      </c>
      <c r="J11" s="10" t="n">
        <f aca="false">J4*0.08</f>
        <v>1080</v>
      </c>
      <c r="K11" s="10" t="n">
        <f aca="false">K4*0.08</f>
        <v>1200</v>
      </c>
    </row>
    <row r="12" customFormat="false" ht="15" hidden="false" customHeight="false" outlineLevel="0" collapsed="false">
      <c r="A12" s="9" t="s">
        <v>67</v>
      </c>
      <c r="B12" s="10" t="n">
        <f aca="false">B4*0.12</f>
        <v>180</v>
      </c>
      <c r="C12" s="10" t="n">
        <f aca="false">C4*0.11</f>
        <v>330</v>
      </c>
      <c r="D12" s="10" t="n">
        <f aca="false">D4*0.1</f>
        <v>450</v>
      </c>
      <c r="E12" s="10" t="n">
        <f aca="false">E4*0.09</f>
        <v>540</v>
      </c>
      <c r="F12" s="10" t="n">
        <f aca="false">F4*0.08</f>
        <v>600</v>
      </c>
      <c r="G12" s="10" t="n">
        <f aca="false">G4*0.07</f>
        <v>630</v>
      </c>
      <c r="H12" s="10" t="n">
        <f aca="false">H4*0.06</f>
        <v>630</v>
      </c>
      <c r="I12" s="10" t="n">
        <f aca="false">I4*0.06</f>
        <v>720</v>
      </c>
      <c r="J12" s="10" t="n">
        <f aca="false">J4*0.06</f>
        <v>810</v>
      </c>
      <c r="K12" s="10" t="n">
        <f aca="false">K4*0.06</f>
        <v>900</v>
      </c>
    </row>
    <row r="13" customFormat="false" ht="15" hidden="false" customHeight="false" outlineLevel="0" collapsed="false">
      <c r="A13" s="9" t="s">
        <v>68</v>
      </c>
      <c r="B13" s="10" t="n">
        <f aca="false">B4*0.1</f>
        <v>150</v>
      </c>
      <c r="C13" s="10" t="n">
        <f aca="false">C4*0.09</f>
        <v>270</v>
      </c>
      <c r="D13" s="10" t="n">
        <f aca="false">D4*0.08</f>
        <v>360</v>
      </c>
      <c r="E13" s="10" t="n">
        <f aca="false">E4*0.07</f>
        <v>420</v>
      </c>
      <c r="F13" s="10" t="n">
        <f aca="false">F4*0.06</f>
        <v>450</v>
      </c>
      <c r="G13" s="10" t="n">
        <f aca="false">G4*0.05</f>
        <v>450</v>
      </c>
      <c r="H13" s="10" t="n">
        <f aca="false">H4*0.04</f>
        <v>420</v>
      </c>
      <c r="I13" s="10" t="n">
        <f aca="false">I4*0.04</f>
        <v>480</v>
      </c>
      <c r="J13" s="10" t="n">
        <f aca="false">J4*0.04</f>
        <v>540</v>
      </c>
      <c r="K13" s="10" t="n">
        <f aca="false">K4*0.04</f>
        <v>600</v>
      </c>
    </row>
    <row r="14" customFormat="false" ht="15" hidden="false" customHeight="false" outlineLevel="0" collapsed="false">
      <c r="A14" s="9" t="s">
        <v>69</v>
      </c>
      <c r="B14" s="10" t="n">
        <f aca="false">B4*0.05</f>
        <v>75</v>
      </c>
      <c r="C14" s="10" t="n">
        <f aca="false">C4*0.04</f>
        <v>120</v>
      </c>
      <c r="D14" s="10" t="n">
        <f aca="false">D4*0.04</f>
        <v>180</v>
      </c>
      <c r="E14" s="10" t="n">
        <f aca="false">E4*0.03</f>
        <v>180</v>
      </c>
      <c r="F14" s="10" t="n">
        <f aca="false">F4*0.03</f>
        <v>225</v>
      </c>
      <c r="G14" s="10" t="n">
        <f aca="false">G4*0.02</f>
        <v>180</v>
      </c>
      <c r="H14" s="10" t="n">
        <f aca="false">H4*0.02</f>
        <v>210</v>
      </c>
      <c r="I14" s="10" t="n">
        <f aca="false">I4*0.02</f>
        <v>240</v>
      </c>
      <c r="J14" s="10" t="n">
        <f aca="false">J4*0.02</f>
        <v>270</v>
      </c>
      <c r="K14" s="10" t="n">
        <f aca="false">K4*0.02</f>
        <v>300</v>
      </c>
    </row>
    <row r="15" customFormat="false" ht="15" hidden="false" customHeight="false" outlineLevel="0" collapsed="false">
      <c r="A15" s="11" t="s">
        <v>70</v>
      </c>
      <c r="B15" s="12" t="n">
        <f aca="false">SUM(B10:B14)</f>
        <v>900</v>
      </c>
      <c r="C15" s="12" t="n">
        <f aca="false">SUM(C10:C14)</f>
        <v>1620</v>
      </c>
      <c r="D15" s="12" t="n">
        <f aca="false">SUM(D10:D14)</f>
        <v>2205</v>
      </c>
      <c r="E15" s="12" t="n">
        <f aca="false">SUM(E10:E14)</f>
        <v>2580</v>
      </c>
      <c r="F15" s="12" t="n">
        <f aca="false">SUM(F10:F14)</f>
        <v>2775</v>
      </c>
      <c r="G15" s="12" t="n">
        <f aca="false">SUM(G10:G14)</f>
        <v>2880</v>
      </c>
      <c r="H15" s="12" t="n">
        <f aca="false">SUM(H10:H14)</f>
        <v>2940</v>
      </c>
      <c r="I15" s="12" t="n">
        <f aca="false">SUM(I10:I14)</f>
        <v>3360</v>
      </c>
      <c r="J15" s="12" t="n">
        <f aca="false">SUM(J10:J14)</f>
        <v>3780</v>
      </c>
      <c r="K15" s="12" t="n">
        <f aca="false">SUM(K10:K14)</f>
        <v>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6" t="s">
        <v>71</v>
      </c>
    </row>
    <row r="3" customFormat="false" ht="15" hidden="false" customHeight="false" outlineLevel="0" collapsed="false">
      <c r="A3" s="7" t="s">
        <v>59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</row>
    <row r="4" customFormat="false" ht="15" hidden="false" customHeight="false" outlineLevel="0" collapsed="false">
      <c r="A4" s="0" t="s">
        <v>60</v>
      </c>
      <c r="B4" s="16" t="n">
        <f aca="false">'Cost Structure'!B4</f>
        <v>1500</v>
      </c>
      <c r="C4" s="16" t="n">
        <f aca="false">'Cost Structure'!C4</f>
        <v>3000</v>
      </c>
      <c r="D4" s="16" t="n">
        <f aca="false">'Cost Structure'!D4</f>
        <v>4500</v>
      </c>
      <c r="E4" s="16" t="n">
        <f aca="false">'Cost Structure'!E4</f>
        <v>6000</v>
      </c>
      <c r="F4" s="16" t="n">
        <f aca="false">'Cost Structure'!F4</f>
        <v>7500</v>
      </c>
      <c r="G4" s="16" t="n">
        <f aca="false">'Cost Structure'!G4</f>
        <v>9000</v>
      </c>
      <c r="H4" s="16" t="n">
        <f aca="false">'Cost Structure'!H4</f>
        <v>10500</v>
      </c>
      <c r="I4" s="16" t="n">
        <f aca="false">'Cost Structure'!I4</f>
        <v>12000</v>
      </c>
      <c r="J4" s="16" t="n">
        <f aca="false">'Cost Structure'!J4</f>
        <v>13500</v>
      </c>
      <c r="K4" s="16" t="n">
        <f aca="false">'Cost Structure'!K4</f>
        <v>15000</v>
      </c>
    </row>
    <row r="5" customFormat="false" ht="15" hidden="false" customHeight="false" outlineLevel="0" collapsed="false">
      <c r="A5" s="0" t="s">
        <v>72</v>
      </c>
      <c r="B5" s="16" t="n">
        <f aca="false">'Cost Structure'!B5</f>
        <v>420</v>
      </c>
      <c r="C5" s="16" t="n">
        <f aca="false">'Cost Structure'!C5</f>
        <v>840</v>
      </c>
      <c r="D5" s="16" t="n">
        <f aca="false">'Cost Structure'!D5</f>
        <v>1260</v>
      </c>
      <c r="E5" s="16" t="n">
        <f aca="false">'Cost Structure'!E5</f>
        <v>1680</v>
      </c>
      <c r="F5" s="16" t="n">
        <f aca="false">'Cost Structure'!F5</f>
        <v>2100</v>
      </c>
      <c r="G5" s="16" t="n">
        <f aca="false">'Cost Structure'!G5</f>
        <v>2520</v>
      </c>
      <c r="H5" s="16" t="n">
        <f aca="false">'Cost Structure'!H5</f>
        <v>2940</v>
      </c>
      <c r="I5" s="16" t="n">
        <f aca="false">'Cost Structure'!I5</f>
        <v>3360</v>
      </c>
      <c r="J5" s="16" t="n">
        <f aca="false">'Cost Structure'!J5</f>
        <v>3780</v>
      </c>
      <c r="K5" s="16" t="n">
        <f aca="false">'Cost Structure'!K5</f>
        <v>4200</v>
      </c>
    </row>
    <row r="6" customFormat="false" ht="15" hidden="false" customHeight="false" outlineLevel="0" collapsed="false">
      <c r="A6" s="0" t="s">
        <v>62</v>
      </c>
      <c r="B6" s="10" t="n">
        <f aca="false">B4-B5</f>
        <v>1080</v>
      </c>
      <c r="C6" s="10" t="n">
        <f aca="false">C4-C5</f>
        <v>2160</v>
      </c>
      <c r="D6" s="10" t="n">
        <f aca="false">D4-D5</f>
        <v>3240</v>
      </c>
      <c r="E6" s="10" t="n">
        <f aca="false">E4-E5</f>
        <v>4320</v>
      </c>
      <c r="F6" s="10" t="n">
        <f aca="false">F4-F5</f>
        <v>5400</v>
      </c>
      <c r="G6" s="10" t="n">
        <f aca="false">G4-G5</f>
        <v>6480</v>
      </c>
      <c r="H6" s="10" t="n">
        <f aca="false">H4-H5</f>
        <v>7560</v>
      </c>
      <c r="I6" s="10" t="n">
        <f aca="false">I4-I5</f>
        <v>8640</v>
      </c>
      <c r="J6" s="10" t="n">
        <f aca="false">J4-J5</f>
        <v>9720</v>
      </c>
      <c r="K6" s="10" t="n">
        <f aca="false">K4-K5</f>
        <v>10800</v>
      </c>
    </row>
    <row r="7" customFormat="false" ht="15" hidden="false" customHeight="false" outlineLevel="0" collapsed="false">
      <c r="A7" s="0" t="s">
        <v>73</v>
      </c>
      <c r="B7" s="16" t="n">
        <f aca="false">'Cost Structure'!B15</f>
        <v>900</v>
      </c>
      <c r="C7" s="16" t="n">
        <f aca="false">'Cost Structure'!C15</f>
        <v>1620</v>
      </c>
      <c r="D7" s="16" t="n">
        <f aca="false">'Cost Structure'!D15</f>
        <v>2205</v>
      </c>
      <c r="E7" s="16" t="n">
        <f aca="false">'Cost Structure'!E15</f>
        <v>2580</v>
      </c>
      <c r="F7" s="16" t="n">
        <f aca="false">'Cost Structure'!F15</f>
        <v>2775</v>
      </c>
      <c r="G7" s="16" t="n">
        <f aca="false">'Cost Structure'!G15</f>
        <v>2880</v>
      </c>
      <c r="H7" s="16" t="n">
        <f aca="false">'Cost Structure'!H15</f>
        <v>2940</v>
      </c>
      <c r="I7" s="16" t="n">
        <f aca="false">'Cost Structure'!I15</f>
        <v>3360</v>
      </c>
      <c r="J7" s="16" t="n">
        <f aca="false">'Cost Structure'!J15</f>
        <v>3780</v>
      </c>
      <c r="K7" s="16" t="n">
        <f aca="false">'Cost Structure'!K15</f>
        <v>4200</v>
      </c>
    </row>
    <row r="8" customFormat="false" ht="15" hidden="false" customHeight="false" outlineLevel="0" collapsed="false">
      <c r="A8" s="11" t="s">
        <v>74</v>
      </c>
      <c r="B8" s="12" t="n">
        <f aca="false">B6-B7</f>
        <v>180</v>
      </c>
      <c r="C8" s="12" t="n">
        <f aca="false">C6-C7</f>
        <v>540</v>
      </c>
      <c r="D8" s="12" t="n">
        <f aca="false">D6-D7</f>
        <v>1035</v>
      </c>
      <c r="E8" s="12" t="n">
        <f aca="false">E6-E7</f>
        <v>1740</v>
      </c>
      <c r="F8" s="12" t="n">
        <f aca="false">F6-F7</f>
        <v>2625</v>
      </c>
      <c r="G8" s="12" t="n">
        <f aca="false">G6-G7</f>
        <v>3600</v>
      </c>
      <c r="H8" s="12" t="n">
        <f aca="false">H6-H7</f>
        <v>4620</v>
      </c>
      <c r="I8" s="12" t="n">
        <f aca="false">I6-I7</f>
        <v>5280</v>
      </c>
      <c r="J8" s="12" t="n">
        <f aca="false">J6-J7</f>
        <v>5940</v>
      </c>
      <c r="K8" s="12" t="n">
        <f aca="false">K6-K7</f>
        <v>6600</v>
      </c>
    </row>
    <row r="9" customFormat="false" ht="15" hidden="false" customHeight="false" outlineLevel="0" collapsed="false">
      <c r="A9" s="0" t="s">
        <v>75</v>
      </c>
      <c r="B9" s="17" t="n">
        <f aca="false">B8/B4</f>
        <v>0.12</v>
      </c>
      <c r="C9" s="17" t="n">
        <f aca="false">C8/C4</f>
        <v>0.18</v>
      </c>
      <c r="D9" s="17" t="n">
        <f aca="false">D8/D4</f>
        <v>0.23</v>
      </c>
      <c r="E9" s="17" t="n">
        <f aca="false">E8/E4</f>
        <v>0.29</v>
      </c>
      <c r="F9" s="17" t="n">
        <f aca="false">F8/F4</f>
        <v>0.35</v>
      </c>
      <c r="G9" s="17" t="n">
        <f aca="false">G8/G4</f>
        <v>0.4</v>
      </c>
      <c r="H9" s="17" t="n">
        <f aca="false">H8/H4</f>
        <v>0.44</v>
      </c>
      <c r="I9" s="17" t="n">
        <f aca="false">I8/I4</f>
        <v>0.44</v>
      </c>
      <c r="J9" s="17" t="n">
        <f aca="false">J8/J4</f>
        <v>0.44</v>
      </c>
      <c r="K9" s="17" t="n">
        <f aca="false">K8/K4</f>
        <v>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6" t="s">
        <v>76</v>
      </c>
    </row>
    <row r="3" customFormat="false" ht="15" hidden="false" customHeight="false" outlineLevel="0" collapsed="false">
      <c r="A3" s="7" t="s">
        <v>77</v>
      </c>
    </row>
    <row r="4" customFormat="false" ht="15" hidden="false" customHeight="false" outlineLevel="0" collapsed="false">
      <c r="A4" s="4" t="s">
        <v>78</v>
      </c>
      <c r="B4" s="4" t="s">
        <v>79</v>
      </c>
      <c r="C4" s="4" t="s">
        <v>80</v>
      </c>
    </row>
    <row r="5" customFormat="false" ht="15" hidden="false" customHeight="false" outlineLevel="0" collapsed="false">
      <c r="A5" s="0" t="s">
        <v>81</v>
      </c>
      <c r="B5" s="18" t="n">
        <v>500000</v>
      </c>
      <c r="C5" s="0" t="s">
        <v>82</v>
      </c>
    </row>
    <row r="6" customFormat="false" ht="15" hidden="false" customHeight="false" outlineLevel="0" collapsed="false">
      <c r="A6" s="0" t="s">
        <v>83</v>
      </c>
      <c r="B6" s="18" t="n">
        <v>500000</v>
      </c>
      <c r="C6" s="0" t="s">
        <v>84</v>
      </c>
    </row>
    <row r="7" customFormat="false" ht="15" hidden="false" customHeight="false" outlineLevel="0" collapsed="false">
      <c r="A7" s="11" t="s">
        <v>85</v>
      </c>
      <c r="B7" s="19" t="n">
        <f aca="false">B5+B6</f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6" t="s">
        <v>86</v>
      </c>
    </row>
    <row r="3" customFormat="false" ht="15" hidden="false" customHeight="false" outlineLevel="0" collapsed="false">
      <c r="A3" s="7" t="s">
        <v>87</v>
      </c>
    </row>
    <row r="4" customFormat="false" ht="15" hidden="false" customHeight="false" outlineLevel="0" collapsed="false">
      <c r="A4" s="4" t="s">
        <v>3</v>
      </c>
      <c r="B4" s="4" t="s">
        <v>88</v>
      </c>
      <c r="C4" s="4" t="s">
        <v>89</v>
      </c>
      <c r="D4" s="4" t="s">
        <v>90</v>
      </c>
    </row>
    <row r="5" customFormat="false" ht="15" hidden="false" customHeight="false" outlineLevel="0" collapsed="false">
      <c r="A5" s="0" t="s">
        <v>91</v>
      </c>
      <c r="B5" s="16" t="n">
        <f aca="false">'EBITDA &amp; Cash Flow'!F8</f>
        <v>2625</v>
      </c>
      <c r="C5" s="16" t="n">
        <f aca="false">'EBITDA &amp; Cash Flow'!F8</f>
        <v>2625</v>
      </c>
      <c r="D5" s="16" t="n">
        <f aca="false">'EBITDA &amp; Cash Flow'!F8</f>
        <v>2625</v>
      </c>
    </row>
    <row r="6" customFormat="false" ht="15" hidden="false" customHeight="false" outlineLevel="0" collapsed="false">
      <c r="A6" s="0" t="s">
        <v>92</v>
      </c>
      <c r="B6" s="20" t="n">
        <v>8</v>
      </c>
      <c r="C6" s="20" t="n">
        <v>9</v>
      </c>
      <c r="D6" s="20" t="n">
        <v>10</v>
      </c>
    </row>
    <row r="7" customFormat="false" ht="15" hidden="false" customHeight="false" outlineLevel="0" collapsed="false">
      <c r="A7" s="21" t="s">
        <v>93</v>
      </c>
      <c r="B7" s="12" t="n">
        <f aca="false">B5*B6</f>
        <v>21000</v>
      </c>
      <c r="C7" s="12" t="n">
        <f aca="false">C5*C6</f>
        <v>23625</v>
      </c>
      <c r="D7" s="12" t="n">
        <f aca="false">D5*D6</f>
        <v>26250</v>
      </c>
    </row>
    <row r="9" customFormat="false" ht="15" hidden="false" customHeight="false" outlineLevel="0" collapsed="false">
      <c r="A9" s="7" t="s">
        <v>94</v>
      </c>
    </row>
    <row r="10" customFormat="false" ht="15" hidden="false" customHeight="false" outlineLevel="0" collapsed="false">
      <c r="A10" s="4" t="s">
        <v>3</v>
      </c>
      <c r="B10" s="4" t="s">
        <v>88</v>
      </c>
      <c r="C10" s="4" t="s">
        <v>89</v>
      </c>
      <c r="D10" s="4" t="s">
        <v>90</v>
      </c>
    </row>
    <row r="11" customFormat="false" ht="15" hidden="false" customHeight="false" outlineLevel="0" collapsed="false">
      <c r="A11" s="0" t="s">
        <v>95</v>
      </c>
      <c r="B11" s="9" t="n">
        <v>1000</v>
      </c>
      <c r="C11" s="9" t="n">
        <v>1000</v>
      </c>
      <c r="D11" s="9" t="n">
        <v>1000</v>
      </c>
    </row>
    <row r="12" customFormat="false" ht="15" hidden="false" customHeight="false" outlineLevel="0" collapsed="false">
      <c r="A12" s="0" t="s">
        <v>96</v>
      </c>
      <c r="B12" s="22" t="n">
        <f aca="false">B7</f>
        <v>21000</v>
      </c>
      <c r="C12" s="22" t="n">
        <f aca="false">C7</f>
        <v>23625</v>
      </c>
      <c r="D12" s="22" t="n">
        <f aca="false">D7</f>
        <v>26250</v>
      </c>
    </row>
    <row r="13" customFormat="false" ht="15" hidden="false" customHeight="false" outlineLevel="0" collapsed="false">
      <c r="A13" s="21" t="s">
        <v>97</v>
      </c>
      <c r="B13" s="23" t="n">
        <f aca="false">B12/B11</f>
        <v>21</v>
      </c>
      <c r="C13" s="23" t="n">
        <f aca="false">C12/B11</f>
        <v>23.625</v>
      </c>
      <c r="D13" s="23" t="n">
        <f aca="false">D12/B11</f>
        <v>26.25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98</v>
      </c>
    </row>
    <row r="3" customFormat="false" ht="15" hidden="false" customHeight="false" outlineLevel="0" collapsed="false">
      <c r="A3" s="7" t="s">
        <v>99</v>
      </c>
    </row>
    <row r="4" customFormat="false" ht="15" hidden="false" customHeight="false" outlineLevel="0" collapsed="false">
      <c r="A4" s="9" t="s">
        <v>100</v>
      </c>
      <c r="B4" s="0" t="s">
        <v>101</v>
      </c>
    </row>
    <row r="5" customFormat="false" ht="15" hidden="false" customHeight="false" outlineLevel="0" collapsed="false">
      <c r="A5" s="9" t="s">
        <v>102</v>
      </c>
      <c r="B5" s="0" t="s">
        <v>103</v>
      </c>
    </row>
    <row r="6" customFormat="false" ht="15" hidden="false" customHeight="false" outlineLevel="0" collapsed="false">
      <c r="A6" s="9" t="s">
        <v>104</v>
      </c>
      <c r="B6" s="0" t="s">
        <v>105</v>
      </c>
    </row>
    <row r="7" customFormat="false" ht="15" hidden="false" customHeight="false" outlineLevel="0" collapsed="false">
      <c r="A7" s="9" t="s">
        <v>106</v>
      </c>
      <c r="B7" s="0" t="s">
        <v>105</v>
      </c>
    </row>
    <row r="8" customFormat="false" ht="15" hidden="false" customHeight="false" outlineLevel="0" collapsed="false">
      <c r="A8" s="9" t="s">
        <v>107</v>
      </c>
      <c r="B8" s="0" t="s">
        <v>108</v>
      </c>
    </row>
    <row r="9" customFormat="false" ht="15" hidden="false" customHeight="false" outlineLevel="0" collapsed="false">
      <c r="A9" s="9" t="s">
        <v>109</v>
      </c>
      <c r="B9" s="0" t="s">
        <v>110</v>
      </c>
    </row>
    <row r="11" customFormat="false" ht="15" hidden="false" customHeight="false" outlineLevel="0" collapsed="false">
      <c r="A11" s="7" t="s">
        <v>111</v>
      </c>
    </row>
    <row r="12" customFormat="false" ht="15" hidden="false" customHeight="false" outlineLevel="0" collapsed="false">
      <c r="A12" s="9" t="s">
        <v>112</v>
      </c>
      <c r="B12" s="0" t="s">
        <v>113</v>
      </c>
    </row>
    <row r="13" customFormat="false" ht="15" hidden="false" customHeight="false" outlineLevel="0" collapsed="false">
      <c r="A13" s="9" t="s">
        <v>25</v>
      </c>
      <c r="B13" s="0" t="s">
        <v>114</v>
      </c>
    </row>
    <row r="15" customFormat="false" ht="15" hidden="false" customHeight="false" outlineLevel="0" collapsed="false">
      <c r="A15" s="7" t="s">
        <v>115</v>
      </c>
    </row>
    <row r="16" customFormat="false" ht="15" hidden="false" customHeight="false" outlineLevel="0" collapsed="false">
      <c r="A16" s="9" t="s">
        <v>116</v>
      </c>
      <c r="B16" s="0" t="s">
        <v>6</v>
      </c>
    </row>
    <row r="17" customFormat="false" ht="15" hidden="false" customHeight="false" outlineLevel="0" collapsed="false">
      <c r="A17" s="9" t="s">
        <v>117</v>
      </c>
      <c r="B17" s="0" t="s">
        <v>8</v>
      </c>
    </row>
    <row r="18" customFormat="false" ht="15" hidden="false" customHeight="false" outlineLevel="0" collapsed="false">
      <c r="A18" s="9" t="s">
        <v>118</v>
      </c>
      <c r="B18" s="0" t="s">
        <v>10</v>
      </c>
    </row>
    <row r="19" customFormat="false" ht="15" hidden="false" customHeight="false" outlineLevel="0" collapsed="false">
      <c r="A19" s="9" t="s">
        <v>119</v>
      </c>
      <c r="B19" s="0" t="s">
        <v>120</v>
      </c>
    </row>
    <row r="20" customFormat="false" ht="15" hidden="false" customHeight="false" outlineLevel="0" collapsed="false">
      <c r="A20" s="9" t="s">
        <v>121</v>
      </c>
      <c r="B20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2026-02-28T11:41:52Z</dcterms:created>
  <dc:creator>openpyxl</dc:creator>
  <dc:description/>
  <dc:language>en-US</dc:language>
  <cp:lastModifiedBy/>
  <dcterms:modified xsi:type="dcterms:W3CDTF">2026-02-28T11:41:52Z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